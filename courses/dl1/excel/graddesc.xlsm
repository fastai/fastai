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426" codeName="{0EBEE25D-5E30-3CCF-7B8A-937B5088EA05}"/>
  <workbookPr codeName="ThisWorkbook" defaultThemeVersion="153222"/>
  <mc:AlternateContent xmlns:mc="http://schemas.openxmlformats.org/markup-compatibility/2006">
    <mc:Choice Requires="x15">
      <x15ac:absPath xmlns:x15ac="http://schemas.microsoft.com/office/spreadsheetml/2010/11/ac" url="C:\Users\j\Downloads\"/>
    </mc:Choice>
  </mc:AlternateContent>
  <bookViews>
    <workbookView xWindow="945" yWindow="0" windowWidth="50655" windowHeight="19500"/>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 i="19" l="1"/>
  <c r="H5" i="19" s="1"/>
  <c r="F33" i="2"/>
  <c r="F2" i="2"/>
  <c r="H6" i="2"/>
  <c r="J5" i="18"/>
  <c r="H4" i="18"/>
  <c r="J6" i="13"/>
  <c r="K6" i="13"/>
  <c r="F8" i="13"/>
  <c r="N33" i="19" l="1"/>
  <c r="D4" i="19" l="1"/>
  <c r="C4" i="19"/>
  <c r="M3" i="19"/>
  <c r="L3" i="19"/>
  <c r="L34" i="19" s="1"/>
  <c r="K3" i="19"/>
  <c r="K34" i="19" s="1"/>
  <c r="J3" i="19"/>
  <c r="M1" i="19"/>
  <c r="K1" i="19"/>
  <c r="F36" i="16"/>
  <c r="F38" i="16" s="1"/>
  <c r="D4" i="18"/>
  <c r="C4" i="18"/>
  <c r="K3" i="18"/>
  <c r="J3" i="18"/>
  <c r="K1" i="18"/>
  <c r="F4" i="19" l="1"/>
  <c r="G4" i="19" s="1"/>
  <c r="K4" i="19" s="1"/>
  <c r="E4" i="19"/>
  <c r="F4" i="18"/>
  <c r="G4" i="18" s="1"/>
  <c r="K4" i="18" s="1"/>
  <c r="I4" i="18" s="1"/>
  <c r="D5" i="18" s="1"/>
  <c r="E4" i="18"/>
  <c r="D4" i="16"/>
  <c r="C4" i="16"/>
  <c r="N3" i="16"/>
  <c r="M3" i="16"/>
  <c r="L3" i="16"/>
  <c r="K3" i="16"/>
  <c r="N1" i="16"/>
  <c r="L1" i="16"/>
  <c r="J4" i="19" l="1"/>
  <c r="M4" i="19"/>
  <c r="I4" i="19" s="1"/>
  <c r="D5" i="19" s="1"/>
  <c r="L4" i="19"/>
  <c r="J4" i="18"/>
  <c r="C5" i="18" s="1"/>
  <c r="F5" i="18" s="1"/>
  <c r="H5" i="18" s="1"/>
  <c r="E4" i="16"/>
  <c r="F4" i="16" s="1"/>
  <c r="G4" i="16"/>
  <c r="H4" i="16" s="1"/>
  <c r="N4" i="16" s="1"/>
  <c r="K3" i="15"/>
  <c r="J3" i="15"/>
  <c r="K1" i="15"/>
  <c r="D4" i="15"/>
  <c r="C4" i="15"/>
  <c r="M3" i="15"/>
  <c r="L3" i="15"/>
  <c r="M1" i="15"/>
  <c r="H4" i="19" l="1"/>
  <c r="C5" i="19" s="1"/>
  <c r="E5" i="19" s="1"/>
  <c r="E5" i="18"/>
  <c r="G5" i="18"/>
  <c r="L4" i="16"/>
  <c r="K4" i="16"/>
  <c r="M4" i="16"/>
  <c r="F4" i="15"/>
  <c r="E4" i="15"/>
  <c r="K1" i="13"/>
  <c r="K3" i="13"/>
  <c r="J3" i="13"/>
  <c r="D4" i="13"/>
  <c r="C4" i="13"/>
  <c r="F5" i="19" l="1"/>
  <c r="I4" i="16"/>
  <c r="C5" i="16" s="1"/>
  <c r="J4" i="16"/>
  <c r="D5" i="16" s="1"/>
  <c r="K5" i="18"/>
  <c r="I5" i="18" s="1"/>
  <c r="C6" i="18"/>
  <c r="G4" i="15"/>
  <c r="J4" i="15"/>
  <c r="L4" i="15"/>
  <c r="F4" i="13"/>
  <c r="J4" i="13" s="1"/>
  <c r="E4" i="13"/>
  <c r="G5" i="19" l="1"/>
  <c r="K5" i="19" s="1"/>
  <c r="L5" i="19"/>
  <c r="E5" i="16"/>
  <c r="F5" i="16" s="1"/>
  <c r="D6" i="18"/>
  <c r="G5" i="16"/>
  <c r="H5" i="16" s="1"/>
  <c r="H4" i="15"/>
  <c r="C5" i="15" s="1"/>
  <c r="K4" i="15"/>
  <c r="M4" i="15"/>
  <c r="G4" i="13"/>
  <c r="H4" i="13"/>
  <c r="C5" i="13" s="1"/>
  <c r="M5" i="19" l="1"/>
  <c r="I5" i="19" s="1"/>
  <c r="D6" i="19" s="1"/>
  <c r="C6" i="19"/>
  <c r="F6" i="18"/>
  <c r="E6" i="18"/>
  <c r="M5" i="16"/>
  <c r="K5" i="16"/>
  <c r="L5" i="16"/>
  <c r="N5" i="16"/>
  <c r="I4" i="15"/>
  <c r="D5" i="15" s="1"/>
  <c r="F5" i="15" s="1"/>
  <c r="K4" i="13"/>
  <c r="I4" i="13"/>
  <c r="D5" i="13" s="1"/>
  <c r="F6" i="19" l="1"/>
  <c r="G6" i="19" s="1"/>
  <c r="E6" i="19"/>
  <c r="I5" i="16"/>
  <c r="C6" i="16" s="1"/>
  <c r="J5" i="16"/>
  <c r="D6" i="16" s="1"/>
  <c r="G6" i="18"/>
  <c r="J6" i="18"/>
  <c r="H6" i="18" s="1"/>
  <c r="E5" i="15"/>
  <c r="J5" i="15"/>
  <c r="L5" i="15"/>
  <c r="G5" i="15"/>
  <c r="F5" i="13"/>
  <c r="E5" i="13"/>
  <c r="D4" i="6"/>
  <c r="C4" i="6"/>
  <c r="G2" i="6"/>
  <c r="F2" i="6"/>
  <c r="J6" i="19" l="1"/>
  <c r="L6" i="19"/>
  <c r="C7" i="18"/>
  <c r="K6" i="18"/>
  <c r="I6" i="18" s="1"/>
  <c r="G6" i="16"/>
  <c r="E6" i="16"/>
  <c r="F6" i="16" s="1"/>
  <c r="H5" i="15"/>
  <c r="C6" i="15" s="1"/>
  <c r="K5" i="15"/>
  <c r="M5" i="15"/>
  <c r="J5" i="13"/>
  <c r="H5" i="13"/>
  <c r="C6" i="13" s="1"/>
  <c r="G5" i="13"/>
  <c r="E4" i="6"/>
  <c r="F4" i="6"/>
  <c r="D4" i="3"/>
  <c r="C4" i="3"/>
  <c r="G2" i="2"/>
  <c r="D4" i="2"/>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6" i="1"/>
  <c r="C6" i="1" s="1"/>
  <c r="G4" i="3" l="1"/>
  <c r="E4" i="3"/>
  <c r="H6" i="19"/>
  <c r="C7" i="19" s="1"/>
  <c r="K6" i="19"/>
  <c r="M6" i="19"/>
  <c r="D7" i="18"/>
  <c r="H6" i="16"/>
  <c r="M6" i="16"/>
  <c r="K6" i="16"/>
  <c r="I5" i="15"/>
  <c r="D6" i="15" s="1"/>
  <c r="F6" i="15" s="1"/>
  <c r="I5" i="13"/>
  <c r="D6" i="13" s="1"/>
  <c r="K5" i="13"/>
  <c r="G4" i="6"/>
  <c r="I4" i="6"/>
  <c r="C5" i="6" s="1"/>
  <c r="I4" i="3"/>
  <c r="C4" i="2"/>
  <c r="F4" i="2" s="1"/>
  <c r="H4" i="2" s="1"/>
  <c r="I6" i="19" l="1"/>
  <c r="D7" i="19" s="1"/>
  <c r="I6" i="16"/>
  <c r="C7" i="16" s="1"/>
  <c r="E7" i="18"/>
  <c r="F7" i="18"/>
  <c r="N6" i="16"/>
  <c r="L6" i="16"/>
  <c r="E6" i="15"/>
  <c r="G6" i="15"/>
  <c r="L6" i="15"/>
  <c r="J6" i="15"/>
  <c r="F6" i="13"/>
  <c r="E6" i="13"/>
  <c r="F4" i="3"/>
  <c r="J4" i="3" s="1"/>
  <c r="K4" i="3"/>
  <c r="N4" i="3" s="1"/>
  <c r="C5" i="3" s="1"/>
  <c r="G4" i="2"/>
  <c r="I4" i="2" s="1"/>
  <c r="H4" i="6"/>
  <c r="D5" i="6" s="1"/>
  <c r="E5" i="6" s="1"/>
  <c r="E4" i="2"/>
  <c r="H4" i="3" l="1"/>
  <c r="F7" i="19"/>
  <c r="E7" i="19"/>
  <c r="J6" i="16"/>
  <c r="D7" i="16" s="1"/>
  <c r="G7" i="18"/>
  <c r="J7" i="18"/>
  <c r="H7" i="18" s="1"/>
  <c r="H6" i="15"/>
  <c r="C7" i="15" s="1"/>
  <c r="M6" i="15"/>
  <c r="K6" i="15"/>
  <c r="H6" i="13"/>
  <c r="C7" i="13" s="1"/>
  <c r="G6" i="13"/>
  <c r="L4" i="3"/>
  <c r="M4" i="3" s="1"/>
  <c r="D5" i="3" s="1"/>
  <c r="E5" i="3" s="1"/>
  <c r="F5" i="3" s="1"/>
  <c r="D5" i="2"/>
  <c r="F5" i="6"/>
  <c r="C5" i="2"/>
  <c r="G7" i="19" l="1"/>
  <c r="L7" i="19"/>
  <c r="J7" i="19"/>
  <c r="E7" i="16"/>
  <c r="F7" i="16" s="1"/>
  <c r="K7" i="18"/>
  <c r="I7" i="18" s="1"/>
  <c r="C8" i="18"/>
  <c r="G7" i="16"/>
  <c r="I6" i="15"/>
  <c r="D7" i="15" s="1"/>
  <c r="I6" i="13"/>
  <c r="D7" i="13" s="1"/>
  <c r="G5" i="6"/>
  <c r="I5" i="6"/>
  <c r="C6" i="6" s="1"/>
  <c r="G5" i="3"/>
  <c r="I5" i="3"/>
  <c r="F5" i="2"/>
  <c r="H5" i="2" s="1"/>
  <c r="E5" i="2"/>
  <c r="H7" i="19" l="1"/>
  <c r="C8" i="19" s="1"/>
  <c r="M7" i="19"/>
  <c r="K7" i="19"/>
  <c r="D8" i="18"/>
  <c r="H7" i="16"/>
  <c r="M7" i="16"/>
  <c r="K7" i="16"/>
  <c r="F7" i="15"/>
  <c r="E7" i="15"/>
  <c r="F7" i="13"/>
  <c r="E7" i="13"/>
  <c r="J5" i="3"/>
  <c r="K5" i="3"/>
  <c r="N5" i="3" s="1"/>
  <c r="C6" i="3" s="1"/>
  <c r="C6" i="2"/>
  <c r="H5" i="6"/>
  <c r="D6" i="6" s="1"/>
  <c r="G5" i="2"/>
  <c r="I5" i="2" s="1"/>
  <c r="I7" i="19" l="1"/>
  <c r="D8" i="19" s="1"/>
  <c r="E8" i="19" s="1"/>
  <c r="I7" i="16"/>
  <c r="C8" i="16" s="1"/>
  <c r="E8" i="18"/>
  <c r="F8" i="18"/>
  <c r="N7" i="16"/>
  <c r="L7" i="16"/>
  <c r="J7" i="15"/>
  <c r="L7" i="15"/>
  <c r="G7" i="15"/>
  <c r="J7" i="13"/>
  <c r="H7" i="13"/>
  <c r="C8" i="13" s="1"/>
  <c r="G7" i="13"/>
  <c r="H5" i="3"/>
  <c r="L5" i="3"/>
  <c r="M5" i="3" s="1"/>
  <c r="D6" i="3" s="1"/>
  <c r="G6" i="3" s="1"/>
  <c r="D6" i="2"/>
  <c r="E6" i="6"/>
  <c r="F6" i="6"/>
  <c r="F8" i="19" l="1"/>
  <c r="J7" i="16"/>
  <c r="D8" i="16" s="1"/>
  <c r="G8" i="18"/>
  <c r="J8" i="18"/>
  <c r="H8" i="18" s="1"/>
  <c r="H7" i="15"/>
  <c r="C8" i="15" s="1"/>
  <c r="M7" i="15"/>
  <c r="K7" i="15"/>
  <c r="K7" i="13"/>
  <c r="I7" i="13"/>
  <c r="D8" i="13" s="1"/>
  <c r="E8" i="13" s="1"/>
  <c r="E6" i="3"/>
  <c r="F6" i="3" s="1"/>
  <c r="I6" i="3"/>
  <c r="G6" i="6"/>
  <c r="I6" i="6"/>
  <c r="C7" i="6" s="1"/>
  <c r="E6" i="2"/>
  <c r="F6" i="2"/>
  <c r="K6" i="3" l="1"/>
  <c r="N6" i="3" s="1"/>
  <c r="C7" i="3" s="1"/>
  <c r="G8" i="19"/>
  <c r="J8" i="19"/>
  <c r="L8" i="19"/>
  <c r="C9" i="18"/>
  <c r="K8" i="18"/>
  <c r="I8" i="18" s="1"/>
  <c r="G8" i="16"/>
  <c r="E8" i="16"/>
  <c r="F8" i="16" s="1"/>
  <c r="I7" i="15"/>
  <c r="D8" i="15" s="1"/>
  <c r="E8" i="15" s="1"/>
  <c r="J6" i="3"/>
  <c r="H6" i="3"/>
  <c r="C7" i="2"/>
  <c r="H6" i="6"/>
  <c r="D7" i="6" s="1"/>
  <c r="G6" i="2"/>
  <c r="I6" i="2" s="1"/>
  <c r="L6" i="3" l="1"/>
  <c r="M6" i="3" s="1"/>
  <c r="D7" i="3" s="1"/>
  <c r="G7" i="3" s="1"/>
  <c r="H8" i="19"/>
  <c r="C9" i="19" s="1"/>
  <c r="M8" i="19"/>
  <c r="K8" i="19"/>
  <c r="D9" i="18"/>
  <c r="H8" i="16"/>
  <c r="M8" i="16"/>
  <c r="K8" i="16"/>
  <c r="F8" i="15"/>
  <c r="J8" i="13"/>
  <c r="H8" i="13"/>
  <c r="C9" i="13" s="1"/>
  <c r="G8" i="13"/>
  <c r="D7" i="2"/>
  <c r="E7" i="6"/>
  <c r="F7" i="6"/>
  <c r="I7" i="3" l="1"/>
  <c r="E7" i="3"/>
  <c r="F7" i="3" s="1"/>
  <c r="I8" i="19"/>
  <c r="D9" i="19" s="1"/>
  <c r="I8" i="16"/>
  <c r="C9" i="16" s="1"/>
  <c r="E9" i="18"/>
  <c r="F9" i="18"/>
  <c r="N8" i="16"/>
  <c r="L8" i="16"/>
  <c r="L8" i="15"/>
  <c r="J8" i="15"/>
  <c r="G8" i="15"/>
  <c r="K8" i="13"/>
  <c r="I8" i="13"/>
  <c r="D9" i="13" s="1"/>
  <c r="G7" i="6"/>
  <c r="I7" i="6"/>
  <c r="C8" i="6" s="1"/>
  <c r="E7" i="2"/>
  <c r="F7" i="2"/>
  <c r="H7" i="2" s="1"/>
  <c r="K7" i="3" l="1"/>
  <c r="L7" i="3" s="1"/>
  <c r="M7" i="3" s="1"/>
  <c r="D8" i="3" s="1"/>
  <c r="F9" i="19"/>
  <c r="E9" i="19"/>
  <c r="J8" i="16"/>
  <c r="D9" i="16" s="1"/>
  <c r="G9" i="18"/>
  <c r="J9" i="18"/>
  <c r="H9" i="18" s="1"/>
  <c r="H8" i="15"/>
  <c r="C9" i="15" s="1"/>
  <c r="K8" i="15"/>
  <c r="M8" i="15"/>
  <c r="F9" i="13"/>
  <c r="E9" i="13"/>
  <c r="C8" i="2"/>
  <c r="H7" i="3"/>
  <c r="J7" i="3"/>
  <c r="H7" i="6"/>
  <c r="D8" i="6" s="1"/>
  <c r="G7" i="2"/>
  <c r="I7" i="2" s="1"/>
  <c r="N7" i="3" l="1"/>
  <c r="C8" i="3" s="1"/>
  <c r="E8" i="3" s="1"/>
  <c r="K8" i="3" s="1"/>
  <c r="N8" i="3" s="1"/>
  <c r="C9" i="3" s="1"/>
  <c r="G9" i="19"/>
  <c r="L9" i="19"/>
  <c r="J9" i="19"/>
  <c r="E9" i="16"/>
  <c r="F9" i="16" s="1"/>
  <c r="C10" i="18"/>
  <c r="K9" i="18"/>
  <c r="I9" i="18" s="1"/>
  <c r="G9" i="16"/>
  <c r="I8" i="15"/>
  <c r="D9" i="15" s="1"/>
  <c r="F9" i="15" s="1"/>
  <c r="J9" i="13"/>
  <c r="G9" i="13"/>
  <c r="H9" i="13"/>
  <c r="C10" i="13" s="1"/>
  <c r="D8" i="2"/>
  <c r="E8" i="6"/>
  <c r="F8" i="6"/>
  <c r="I8" i="3" l="1"/>
  <c r="G8" i="3"/>
  <c r="H9" i="19"/>
  <c r="C10" i="19" s="1"/>
  <c r="M9" i="19"/>
  <c r="K9" i="19"/>
  <c r="D10" i="18"/>
  <c r="H9" i="16"/>
  <c r="K9" i="16"/>
  <c r="M9" i="16"/>
  <c r="G9" i="15"/>
  <c r="L9" i="15"/>
  <c r="J9" i="15"/>
  <c r="E9" i="15"/>
  <c r="F8" i="3"/>
  <c r="K9" i="13"/>
  <c r="I9" i="13"/>
  <c r="D10" i="13" s="1"/>
  <c r="L8" i="3"/>
  <c r="M8" i="3" s="1"/>
  <c r="D9" i="3" s="1"/>
  <c r="E9" i="3" s="1"/>
  <c r="E8" i="2"/>
  <c r="G8" i="6"/>
  <c r="I8" i="6"/>
  <c r="C9" i="6" s="1"/>
  <c r="F8" i="2"/>
  <c r="H8" i="2" s="1"/>
  <c r="J8" i="3" l="1"/>
  <c r="I9" i="19"/>
  <c r="D10" i="19" s="1"/>
  <c r="E10" i="19" s="1"/>
  <c r="I9" i="16"/>
  <c r="C10" i="16" s="1"/>
  <c r="E10" i="18"/>
  <c r="F10" i="18"/>
  <c r="L9" i="16"/>
  <c r="N9" i="16"/>
  <c r="K9" i="15"/>
  <c r="M9" i="15"/>
  <c r="H9" i="15"/>
  <c r="C10" i="15" s="1"/>
  <c r="H8" i="3"/>
  <c r="E10" i="13"/>
  <c r="F10" i="13"/>
  <c r="C9" i="2"/>
  <c r="F9" i="3"/>
  <c r="K9" i="3"/>
  <c r="N9" i="3" s="1"/>
  <c r="H8" i="6"/>
  <c r="D9" i="6" s="1"/>
  <c r="G9" i="3"/>
  <c r="I9" i="3"/>
  <c r="G8" i="2"/>
  <c r="I8" i="2" s="1"/>
  <c r="F10" i="19" l="1"/>
  <c r="J9" i="16"/>
  <c r="D10" i="16" s="1"/>
  <c r="G10" i="18"/>
  <c r="J10" i="18"/>
  <c r="H10" i="18" s="1"/>
  <c r="I9" i="15"/>
  <c r="D10" i="15" s="1"/>
  <c r="F10" i="15" s="1"/>
  <c r="H9" i="3"/>
  <c r="J9" i="3"/>
  <c r="J10" i="13"/>
  <c r="G10" i="13"/>
  <c r="H10" i="13"/>
  <c r="C11" i="13" s="1"/>
  <c r="D9" i="2"/>
  <c r="F9" i="6"/>
  <c r="E9" i="6"/>
  <c r="L9" i="3"/>
  <c r="M9" i="3" s="1"/>
  <c r="D10" i="3" s="1"/>
  <c r="C10" i="3"/>
  <c r="G10" i="19" l="1"/>
  <c r="J10" i="19"/>
  <c r="L10" i="19"/>
  <c r="C11" i="18"/>
  <c r="K10" i="18"/>
  <c r="I10" i="18" s="1"/>
  <c r="G10" i="16"/>
  <c r="E10" i="16"/>
  <c r="F10" i="16" s="1"/>
  <c r="E10" i="15"/>
  <c r="J10" i="15"/>
  <c r="G10" i="15"/>
  <c r="L10" i="15"/>
  <c r="K10" i="13"/>
  <c r="I10" i="13"/>
  <c r="D11" i="13" s="1"/>
  <c r="E9" i="2"/>
  <c r="G9" i="6"/>
  <c r="H9" i="6" s="1"/>
  <c r="D10" i="6" s="1"/>
  <c r="I9" i="6"/>
  <c r="C10" i="6" s="1"/>
  <c r="E10" i="3"/>
  <c r="I10" i="3"/>
  <c r="G10" i="3"/>
  <c r="F9" i="2"/>
  <c r="H9" i="2" s="1"/>
  <c r="H10" i="19" l="1"/>
  <c r="C11" i="19" s="1"/>
  <c r="M10" i="19"/>
  <c r="K10" i="19"/>
  <c r="D11" i="18"/>
  <c r="H10" i="16"/>
  <c r="M10" i="16"/>
  <c r="K10" i="16"/>
  <c r="K10" i="15"/>
  <c r="H10" i="15"/>
  <c r="C11" i="15" s="1"/>
  <c r="M10" i="15"/>
  <c r="F11" i="13"/>
  <c r="E11" i="13"/>
  <c r="C10" i="2"/>
  <c r="F10" i="3"/>
  <c r="H10" i="3" s="1"/>
  <c r="K10" i="3"/>
  <c r="L10" i="3" s="1"/>
  <c r="M10" i="3" s="1"/>
  <c r="D11" i="3" s="1"/>
  <c r="E10" i="6"/>
  <c r="F10" i="6"/>
  <c r="G10" i="6" s="1"/>
  <c r="H10" i="6" s="1"/>
  <c r="D11" i="6" s="1"/>
  <c r="G9" i="2"/>
  <c r="I9" i="2" s="1"/>
  <c r="I10" i="19" l="1"/>
  <c r="D11" i="19" s="1"/>
  <c r="E11" i="19" s="1"/>
  <c r="I10" i="16"/>
  <c r="C11" i="16" s="1"/>
  <c r="E11" i="18"/>
  <c r="F11" i="18"/>
  <c r="N10" i="16"/>
  <c r="L10" i="16"/>
  <c r="I10" i="15"/>
  <c r="D11" i="15" s="1"/>
  <c r="E11" i="15" s="1"/>
  <c r="J11" i="13"/>
  <c r="G11" i="13"/>
  <c r="H11" i="13"/>
  <c r="C12" i="13" s="1"/>
  <c r="J10" i="3"/>
  <c r="D10" i="2"/>
  <c r="N10" i="3"/>
  <c r="C11" i="3" s="1"/>
  <c r="E11" i="3" s="1"/>
  <c r="I10" i="6"/>
  <c r="C11" i="6" s="1"/>
  <c r="F11" i="19" l="1"/>
  <c r="J10" i="16"/>
  <c r="D11" i="16" s="1"/>
  <c r="G11" i="18"/>
  <c r="J11" i="18"/>
  <c r="H11" i="18" s="1"/>
  <c r="F11" i="15"/>
  <c r="K11" i="13"/>
  <c r="I11" i="13"/>
  <c r="D12" i="13" s="1"/>
  <c r="G11" i="3"/>
  <c r="E10" i="2"/>
  <c r="F11" i="3"/>
  <c r="K11" i="3"/>
  <c r="L11" i="3" s="1"/>
  <c r="M11" i="3" s="1"/>
  <c r="D12" i="3" s="1"/>
  <c r="I11" i="3"/>
  <c r="E11" i="6"/>
  <c r="F11" i="6"/>
  <c r="G11" i="6" s="1"/>
  <c r="H11" i="6" s="1"/>
  <c r="D12" i="6" s="1"/>
  <c r="F10" i="2"/>
  <c r="H10" i="2" s="1"/>
  <c r="G11" i="19" l="1"/>
  <c r="L11" i="19"/>
  <c r="J11" i="19"/>
  <c r="E11" i="16"/>
  <c r="F11" i="16" s="1"/>
  <c r="C12" i="18"/>
  <c r="K11" i="18"/>
  <c r="I11" i="18" s="1"/>
  <c r="G11" i="16"/>
  <c r="G11" i="15"/>
  <c r="L11" i="15"/>
  <c r="J11" i="15"/>
  <c r="E12" i="13"/>
  <c r="F12" i="13"/>
  <c r="J11" i="3"/>
  <c r="H11" i="3"/>
  <c r="C11" i="2"/>
  <c r="N11" i="3"/>
  <c r="C12" i="3" s="1"/>
  <c r="I12" i="3" s="1"/>
  <c r="I11" i="6"/>
  <c r="C12" i="6" s="1"/>
  <c r="G10" i="2"/>
  <c r="I10" i="2" s="1"/>
  <c r="H11" i="19" l="1"/>
  <c r="C12" i="19" s="1"/>
  <c r="M11" i="19"/>
  <c r="K11" i="19"/>
  <c r="D12" i="18"/>
  <c r="H11" i="16"/>
  <c r="K11" i="16"/>
  <c r="M11" i="16"/>
  <c r="K11" i="15"/>
  <c r="M11" i="15"/>
  <c r="H11" i="15"/>
  <c r="C12" i="15" s="1"/>
  <c r="J12" i="13"/>
  <c r="H12" i="13"/>
  <c r="C13" i="13" s="1"/>
  <c r="G12" i="13"/>
  <c r="D11" i="2"/>
  <c r="E12" i="3"/>
  <c r="G12" i="3"/>
  <c r="E12" i="6"/>
  <c r="F12" i="6"/>
  <c r="G12" i="6" s="1"/>
  <c r="H12" i="6" s="1"/>
  <c r="D13" i="6" s="1"/>
  <c r="I11" i="19" l="1"/>
  <c r="D12" i="19" s="1"/>
  <c r="I11" i="16"/>
  <c r="C12" i="16" s="1"/>
  <c r="E12" i="18"/>
  <c r="F12" i="18"/>
  <c r="L11" i="16"/>
  <c r="N11" i="16"/>
  <c r="I11" i="15"/>
  <c r="D12" i="15" s="1"/>
  <c r="E12" i="15" s="1"/>
  <c r="K12" i="13"/>
  <c r="I12" i="13"/>
  <c r="D13" i="13" s="1"/>
  <c r="E13" i="13" s="1"/>
  <c r="E11" i="2"/>
  <c r="F12" i="3"/>
  <c r="J12" i="3" s="1"/>
  <c r="K12" i="3"/>
  <c r="I12" i="6"/>
  <c r="C13" i="6" s="1"/>
  <c r="F11" i="2"/>
  <c r="H11" i="2" s="1"/>
  <c r="F12" i="19" l="1"/>
  <c r="E12" i="19"/>
  <c r="J11" i="16"/>
  <c r="D12" i="16" s="1"/>
  <c r="G12" i="18"/>
  <c r="J12" i="18"/>
  <c r="H12" i="18" s="1"/>
  <c r="F12" i="15"/>
  <c r="F13" i="13"/>
  <c r="C12" i="2"/>
  <c r="L12" i="3"/>
  <c r="M12" i="3" s="1"/>
  <c r="D13" i="3" s="1"/>
  <c r="N12" i="3"/>
  <c r="C13" i="3" s="1"/>
  <c r="H12" i="3"/>
  <c r="E13" i="6"/>
  <c r="F13" i="6"/>
  <c r="G13" i="6" s="1"/>
  <c r="H13" i="6" s="1"/>
  <c r="D14" i="6" s="1"/>
  <c r="G11" i="2"/>
  <c r="I11" i="2" s="1"/>
  <c r="G12" i="19" l="1"/>
  <c r="J12" i="19"/>
  <c r="L12" i="19"/>
  <c r="E12" i="16"/>
  <c r="F12" i="16" s="1"/>
  <c r="C13" i="18"/>
  <c r="K12" i="18"/>
  <c r="I12" i="18" s="1"/>
  <c r="G12" i="16"/>
  <c r="L12" i="15"/>
  <c r="G12" i="15"/>
  <c r="J12" i="15"/>
  <c r="J13" i="13"/>
  <c r="G13" i="13"/>
  <c r="H13" i="13"/>
  <c r="C14" i="13" s="1"/>
  <c r="D12" i="2"/>
  <c r="E13" i="3"/>
  <c r="G13" i="3"/>
  <c r="I13" i="3"/>
  <c r="I13" i="6"/>
  <c r="C14" i="6" s="1"/>
  <c r="H12" i="19" l="1"/>
  <c r="C13" i="19" s="1"/>
  <c r="K12" i="19"/>
  <c r="M12" i="19"/>
  <c r="D13" i="18"/>
  <c r="H12" i="16"/>
  <c r="K12" i="16"/>
  <c r="M12" i="16"/>
  <c r="H12" i="15"/>
  <c r="C13" i="15" s="1"/>
  <c r="K12" i="15"/>
  <c r="M12" i="15"/>
  <c r="K13" i="13"/>
  <c r="I13" i="13"/>
  <c r="D14" i="13" s="1"/>
  <c r="E12" i="2"/>
  <c r="F13" i="3"/>
  <c r="H13" i="3" s="1"/>
  <c r="K13" i="3"/>
  <c r="E14" i="6"/>
  <c r="F14" i="6"/>
  <c r="G14" i="6" s="1"/>
  <c r="H14" i="6" s="1"/>
  <c r="D15" i="6" s="1"/>
  <c r="F12" i="2"/>
  <c r="H12" i="2" s="1"/>
  <c r="I12" i="19" l="1"/>
  <c r="D13" i="19" s="1"/>
  <c r="I12" i="16"/>
  <c r="C13" i="16" s="1"/>
  <c r="F13" i="18"/>
  <c r="E13" i="18"/>
  <c r="N12" i="16"/>
  <c r="L12" i="16"/>
  <c r="I12" i="15"/>
  <c r="D13" i="15" s="1"/>
  <c r="F13" i="15" s="1"/>
  <c r="F14" i="13"/>
  <c r="E14" i="13"/>
  <c r="J13" i="3"/>
  <c r="C13" i="2"/>
  <c r="L13" i="3"/>
  <c r="M13" i="3" s="1"/>
  <c r="D14" i="3" s="1"/>
  <c r="N13" i="3"/>
  <c r="C14" i="3" s="1"/>
  <c r="I14" i="6"/>
  <c r="C15" i="6" s="1"/>
  <c r="G12" i="2"/>
  <c r="I12" i="2" s="1"/>
  <c r="F13" i="19" l="1"/>
  <c r="E13" i="19"/>
  <c r="J12" i="16"/>
  <c r="D13" i="16" s="1"/>
  <c r="G13" i="18"/>
  <c r="J13" i="18"/>
  <c r="H13" i="18" s="1"/>
  <c r="E13" i="15"/>
  <c r="J13" i="15"/>
  <c r="L13" i="15"/>
  <c r="G13" i="15"/>
  <c r="J14" i="13"/>
  <c r="G14" i="13"/>
  <c r="H14" i="13"/>
  <c r="C15" i="13" s="1"/>
  <c r="D13" i="2"/>
  <c r="G14" i="3"/>
  <c r="E14" i="3"/>
  <c r="I14" i="3"/>
  <c r="F15" i="6"/>
  <c r="G15" i="6" s="1"/>
  <c r="H15" i="6" s="1"/>
  <c r="D16" i="6" s="1"/>
  <c r="E15" i="6"/>
  <c r="G13" i="19" l="1"/>
  <c r="L13" i="19"/>
  <c r="J13" i="19"/>
  <c r="K13" i="18"/>
  <c r="I13" i="18" s="1"/>
  <c r="C14" i="18"/>
  <c r="G13" i="16"/>
  <c r="E13" i="16"/>
  <c r="F13" i="16" s="1"/>
  <c r="H13" i="15"/>
  <c r="C14" i="15" s="1"/>
  <c r="K13" i="15"/>
  <c r="M13" i="15"/>
  <c r="K14" i="13"/>
  <c r="I14" i="13"/>
  <c r="D15" i="13" s="1"/>
  <c r="E15" i="13" s="1"/>
  <c r="E13" i="2"/>
  <c r="F14" i="3"/>
  <c r="J14" i="3" s="1"/>
  <c r="K14" i="3"/>
  <c r="I15" i="6"/>
  <c r="C16" i="6" s="1"/>
  <c r="F13" i="2"/>
  <c r="H13" i="2" s="1"/>
  <c r="H13" i="19" l="1"/>
  <c r="C14" i="19" s="1"/>
  <c r="M13" i="19"/>
  <c r="K13" i="19"/>
  <c r="D14" i="18"/>
  <c r="H13" i="16"/>
  <c r="M13" i="16"/>
  <c r="K13" i="16"/>
  <c r="I13" i="15"/>
  <c r="D14" i="15" s="1"/>
  <c r="E14" i="15" s="1"/>
  <c r="F15" i="13"/>
  <c r="C14" i="2"/>
  <c r="H14" i="3"/>
  <c r="L14" i="3"/>
  <c r="M14" i="3" s="1"/>
  <c r="D15" i="3" s="1"/>
  <c r="N14" i="3"/>
  <c r="C15" i="3" s="1"/>
  <c r="F16" i="6"/>
  <c r="G16" i="6" s="1"/>
  <c r="H16" i="6" s="1"/>
  <c r="D17" i="6" s="1"/>
  <c r="E16" i="6"/>
  <c r="G13" i="2"/>
  <c r="I13" i="2" s="1"/>
  <c r="I13" i="19" l="1"/>
  <c r="D14" i="19" s="1"/>
  <c r="I13" i="16"/>
  <c r="C14" i="16" s="1"/>
  <c r="F14" i="18"/>
  <c r="E14" i="18"/>
  <c r="N13" i="16"/>
  <c r="L13" i="16"/>
  <c r="F14" i="15"/>
  <c r="L14" i="15" s="1"/>
  <c r="J15" i="13"/>
  <c r="H15" i="13"/>
  <c r="C16" i="13" s="1"/>
  <c r="G15" i="13"/>
  <c r="D14" i="2"/>
  <c r="G15" i="3"/>
  <c r="E15" i="3"/>
  <c r="I15" i="3"/>
  <c r="I16" i="6"/>
  <c r="C17" i="6" s="1"/>
  <c r="E17" i="6" s="1"/>
  <c r="F14" i="19" l="1"/>
  <c r="E14" i="19"/>
  <c r="J13" i="16"/>
  <c r="D14" i="16" s="1"/>
  <c r="G14" i="18"/>
  <c r="J14" i="18"/>
  <c r="H14" i="18" s="1"/>
  <c r="J14" i="15"/>
  <c r="H14" i="15" s="1"/>
  <c r="C15" i="15" s="1"/>
  <c r="G14" i="15"/>
  <c r="K15" i="13"/>
  <c r="I15" i="13"/>
  <c r="D16" i="13" s="1"/>
  <c r="E14" i="2"/>
  <c r="F15" i="3"/>
  <c r="J15" i="3" s="1"/>
  <c r="K15" i="3"/>
  <c r="F17" i="6"/>
  <c r="G17" i="6" s="1"/>
  <c r="H17" i="6" s="1"/>
  <c r="D18" i="6" s="1"/>
  <c r="F14" i="2"/>
  <c r="H14" i="2" s="1"/>
  <c r="G14" i="19" l="1"/>
  <c r="J14" i="19"/>
  <c r="L14" i="19"/>
  <c r="C15" i="18"/>
  <c r="K14" i="18"/>
  <c r="I14" i="18" s="1"/>
  <c r="G14" i="16"/>
  <c r="E14" i="16"/>
  <c r="F14" i="16" s="1"/>
  <c r="M14" i="15"/>
  <c r="K14" i="15"/>
  <c r="F16" i="13"/>
  <c r="E16" i="13"/>
  <c r="C15" i="2"/>
  <c r="H15" i="3"/>
  <c r="L15" i="3"/>
  <c r="M15" i="3" s="1"/>
  <c r="D16" i="3" s="1"/>
  <c r="N15" i="3"/>
  <c r="C16" i="3" s="1"/>
  <c r="I17" i="6"/>
  <c r="C18" i="6" s="1"/>
  <c r="G14" i="2"/>
  <c r="I14" i="2" s="1"/>
  <c r="H14" i="19" l="1"/>
  <c r="C15" i="19" s="1"/>
  <c r="M14" i="19"/>
  <c r="K14" i="19"/>
  <c r="D15" i="18"/>
  <c r="H14" i="16"/>
  <c r="M14" i="16"/>
  <c r="K14" i="16"/>
  <c r="I14" i="15"/>
  <c r="D15" i="15" s="1"/>
  <c r="F15" i="15" s="1"/>
  <c r="J16" i="13"/>
  <c r="G16" i="13"/>
  <c r="H16" i="13"/>
  <c r="C17" i="13" s="1"/>
  <c r="D15" i="2"/>
  <c r="G16" i="3"/>
  <c r="E16" i="3"/>
  <c r="I16" i="3"/>
  <c r="F18" i="6"/>
  <c r="G18" i="6" s="1"/>
  <c r="H18" i="6" s="1"/>
  <c r="D19" i="6" s="1"/>
  <c r="E18" i="6"/>
  <c r="I14" i="19" l="1"/>
  <c r="D15" i="19" s="1"/>
  <c r="E15" i="19" s="1"/>
  <c r="I14" i="16"/>
  <c r="C15" i="16" s="1"/>
  <c r="E15" i="18"/>
  <c r="F15" i="18"/>
  <c r="N14" i="16"/>
  <c r="L14" i="16"/>
  <c r="E15" i="15"/>
  <c r="J15" i="15"/>
  <c r="L15" i="15"/>
  <c r="G15" i="15"/>
  <c r="K16" i="13"/>
  <c r="I16" i="13"/>
  <c r="D17" i="13" s="1"/>
  <c r="E15" i="2"/>
  <c r="F15" i="2"/>
  <c r="H15" i="2" s="1"/>
  <c r="F16" i="3"/>
  <c r="J16" i="3" s="1"/>
  <c r="K16" i="3"/>
  <c r="I18" i="6"/>
  <c r="C19" i="6" s="1"/>
  <c r="E19" i="6" s="1"/>
  <c r="F15" i="19" l="1"/>
  <c r="J14" i="16"/>
  <c r="D15" i="16" s="1"/>
  <c r="G15" i="18"/>
  <c r="J15" i="18"/>
  <c r="H15" i="18" s="1"/>
  <c r="H15" i="15"/>
  <c r="C16" i="15" s="1"/>
  <c r="M15" i="15"/>
  <c r="K15" i="15"/>
  <c r="F17" i="13"/>
  <c r="E17" i="13"/>
  <c r="H16" i="3"/>
  <c r="C16" i="2"/>
  <c r="G15" i="2"/>
  <c r="I15" i="2" s="1"/>
  <c r="L16" i="3"/>
  <c r="M16" i="3" s="1"/>
  <c r="D17" i="3" s="1"/>
  <c r="N16" i="3"/>
  <c r="C17" i="3" s="1"/>
  <c r="F19" i="6"/>
  <c r="G19" i="6" s="1"/>
  <c r="H19" i="6" s="1"/>
  <c r="D20" i="6" s="1"/>
  <c r="G15" i="19" l="1"/>
  <c r="L15" i="19"/>
  <c r="J15" i="19"/>
  <c r="E15" i="16"/>
  <c r="F15" i="16" s="1"/>
  <c r="C16" i="18"/>
  <c r="K15" i="18"/>
  <c r="I15" i="18" s="1"/>
  <c r="G15" i="16"/>
  <c r="I15" i="15"/>
  <c r="D16" i="15" s="1"/>
  <c r="J17" i="13"/>
  <c r="G17" i="13"/>
  <c r="H17" i="13"/>
  <c r="C18" i="13" s="1"/>
  <c r="D16" i="2"/>
  <c r="G17" i="3"/>
  <c r="E17" i="3"/>
  <c r="I17" i="3"/>
  <c r="I19" i="6"/>
  <c r="C20" i="6" s="1"/>
  <c r="F20" i="6" s="1"/>
  <c r="G20" i="6" s="1"/>
  <c r="H20" i="6" s="1"/>
  <c r="D21" i="6" s="1"/>
  <c r="H15" i="19" l="1"/>
  <c r="C16" i="19" s="1"/>
  <c r="M15" i="19"/>
  <c r="K15" i="19"/>
  <c r="D16" i="18"/>
  <c r="H15" i="16"/>
  <c r="M15" i="16"/>
  <c r="K15" i="16"/>
  <c r="E16" i="15"/>
  <c r="F16" i="15"/>
  <c r="K17" i="13"/>
  <c r="I17" i="13"/>
  <c r="D18" i="13" s="1"/>
  <c r="E16" i="2"/>
  <c r="F16" i="2"/>
  <c r="H16" i="2" s="1"/>
  <c r="F17" i="3"/>
  <c r="H17" i="3" s="1"/>
  <c r="K17" i="3"/>
  <c r="E20" i="6"/>
  <c r="I20" i="6"/>
  <c r="C21" i="6" s="1"/>
  <c r="I15" i="19" l="1"/>
  <c r="D16" i="19" s="1"/>
  <c r="I15" i="16"/>
  <c r="C16" i="16" s="1"/>
  <c r="E16" i="18"/>
  <c r="F16" i="18"/>
  <c r="L15" i="16"/>
  <c r="N15" i="16"/>
  <c r="L16" i="15"/>
  <c r="G16" i="15"/>
  <c r="J16" i="15"/>
  <c r="F18" i="13"/>
  <c r="E18" i="13"/>
  <c r="J17" i="3"/>
  <c r="C17" i="2"/>
  <c r="G16" i="2"/>
  <c r="I16" i="2" s="1"/>
  <c r="L17" i="3"/>
  <c r="M17" i="3" s="1"/>
  <c r="D18" i="3" s="1"/>
  <c r="N17" i="3"/>
  <c r="C18" i="3" s="1"/>
  <c r="E21" i="6"/>
  <c r="F21" i="6"/>
  <c r="G21" i="6" s="1"/>
  <c r="H21" i="6" s="1"/>
  <c r="D22" i="6" s="1"/>
  <c r="F16" i="19" l="1"/>
  <c r="E16" i="19"/>
  <c r="J15" i="16"/>
  <c r="D16" i="16" s="1"/>
  <c r="G16" i="18"/>
  <c r="J16" i="18"/>
  <c r="H16" i="18" s="1"/>
  <c r="H16" i="15"/>
  <c r="C17" i="15" s="1"/>
  <c r="M16" i="15"/>
  <c r="K16" i="15"/>
  <c r="J18" i="13"/>
  <c r="G18" i="13"/>
  <c r="H18" i="13"/>
  <c r="C19" i="13" s="1"/>
  <c r="D17" i="2"/>
  <c r="G18" i="3"/>
  <c r="E18" i="3"/>
  <c r="I18" i="3"/>
  <c r="I21" i="6"/>
  <c r="C22" i="6" s="1"/>
  <c r="F22" i="6" s="1"/>
  <c r="G22" i="6" s="1"/>
  <c r="H22" i="6" s="1"/>
  <c r="D23" i="6" s="1"/>
  <c r="G16" i="19" l="1"/>
  <c r="J16" i="19"/>
  <c r="L16" i="19"/>
  <c r="E16" i="16"/>
  <c r="F16" i="16" s="1"/>
  <c r="C17" i="18"/>
  <c r="K16" i="18"/>
  <c r="I16" i="18" s="1"/>
  <c r="G16" i="16"/>
  <c r="I16" i="15"/>
  <c r="D17" i="15" s="1"/>
  <c r="F17" i="15" s="1"/>
  <c r="J17" i="15" s="1"/>
  <c r="K18" i="13"/>
  <c r="I18" i="13"/>
  <c r="D19" i="13" s="1"/>
  <c r="E17" i="2"/>
  <c r="F17" i="2"/>
  <c r="H17" i="2" s="1"/>
  <c r="F18" i="3"/>
  <c r="J18" i="3" s="1"/>
  <c r="K18" i="3"/>
  <c r="E22" i="6"/>
  <c r="I22" i="6"/>
  <c r="C23" i="6" s="1"/>
  <c r="E23" i="6" s="1"/>
  <c r="H16" i="19" l="1"/>
  <c r="C17" i="19" s="1"/>
  <c r="M16" i="19"/>
  <c r="K16" i="19"/>
  <c r="D17" i="18"/>
  <c r="H16" i="16"/>
  <c r="M16" i="16"/>
  <c r="K16" i="16"/>
  <c r="G17" i="15"/>
  <c r="K17" i="15" s="1"/>
  <c r="E17" i="15"/>
  <c r="L17" i="15"/>
  <c r="H17" i="15" s="1"/>
  <c r="C18" i="15" s="1"/>
  <c r="E19" i="13"/>
  <c r="F19" i="13"/>
  <c r="H18" i="3"/>
  <c r="C18" i="2"/>
  <c r="G17" i="2"/>
  <c r="I17" i="2" s="1"/>
  <c r="L18" i="3"/>
  <c r="M18" i="3" s="1"/>
  <c r="D19" i="3" s="1"/>
  <c r="N18" i="3"/>
  <c r="C19" i="3" s="1"/>
  <c r="F23" i="6"/>
  <c r="G23" i="6" s="1"/>
  <c r="H23" i="6" s="1"/>
  <c r="D24" i="6" s="1"/>
  <c r="I16" i="19" l="1"/>
  <c r="D17" i="19" s="1"/>
  <c r="I16" i="16"/>
  <c r="C17" i="16" s="1"/>
  <c r="F17" i="18"/>
  <c r="E17" i="18"/>
  <c r="N16" i="16"/>
  <c r="L16" i="16"/>
  <c r="M17" i="15"/>
  <c r="I17" i="15" s="1"/>
  <c r="D18" i="15" s="1"/>
  <c r="J19" i="13"/>
  <c r="H19" i="13"/>
  <c r="C20" i="13" s="1"/>
  <c r="G19" i="13"/>
  <c r="D18" i="2"/>
  <c r="G19" i="3"/>
  <c r="E19" i="3"/>
  <c r="I19" i="3"/>
  <c r="I23" i="6"/>
  <c r="C24" i="6" s="1"/>
  <c r="F24" i="6" s="1"/>
  <c r="G24" i="6" s="1"/>
  <c r="H24" i="6" s="1"/>
  <c r="D25" i="6" s="1"/>
  <c r="F17" i="19" l="1"/>
  <c r="E17" i="19"/>
  <c r="J16" i="16"/>
  <c r="D17" i="16" s="1"/>
  <c r="G17" i="18"/>
  <c r="J17" i="18"/>
  <c r="H17" i="18" s="1"/>
  <c r="F18" i="15"/>
  <c r="E18" i="15"/>
  <c r="K19" i="13"/>
  <c r="I19" i="13"/>
  <c r="D20" i="13" s="1"/>
  <c r="E18" i="2"/>
  <c r="F18" i="2"/>
  <c r="F19" i="3"/>
  <c r="J19" i="3" s="1"/>
  <c r="K19" i="3"/>
  <c r="I24" i="6"/>
  <c r="C25" i="6" s="1"/>
  <c r="E25" i="6" s="1"/>
  <c r="E24" i="6"/>
  <c r="G17" i="19" l="1"/>
  <c r="L17" i="19"/>
  <c r="J17" i="19"/>
  <c r="C18" i="18"/>
  <c r="K17" i="18"/>
  <c r="I17" i="18" s="1"/>
  <c r="G17" i="16"/>
  <c r="E17" i="16"/>
  <c r="F17" i="16" s="1"/>
  <c r="J18" i="15"/>
  <c r="G18" i="15"/>
  <c r="L18" i="15"/>
  <c r="E20" i="13"/>
  <c r="F20" i="13"/>
  <c r="G18" i="2"/>
  <c r="I18" i="2" s="1"/>
  <c r="D19" i="2" s="1"/>
  <c r="H18" i="2"/>
  <c r="C19" i="2" s="1"/>
  <c r="L19" i="3"/>
  <c r="M19" i="3" s="1"/>
  <c r="D20" i="3" s="1"/>
  <c r="N19" i="3"/>
  <c r="C20" i="3" s="1"/>
  <c r="H19" i="3"/>
  <c r="F25" i="6"/>
  <c r="G25" i="6" s="1"/>
  <c r="H25" i="6" s="1"/>
  <c r="D26" i="6" s="1"/>
  <c r="H17" i="19" l="1"/>
  <c r="C18" i="19" s="1"/>
  <c r="K17" i="19"/>
  <c r="M17" i="19"/>
  <c r="D18" i="18"/>
  <c r="H17" i="16"/>
  <c r="M17" i="16"/>
  <c r="K17" i="16"/>
  <c r="M18" i="15"/>
  <c r="K18" i="15"/>
  <c r="H18" i="15"/>
  <c r="C19" i="15" s="1"/>
  <c r="J20" i="13"/>
  <c r="H20" i="13"/>
  <c r="C21" i="13" s="1"/>
  <c r="G20" i="13"/>
  <c r="E19" i="2"/>
  <c r="G20" i="3"/>
  <c r="E20" i="3"/>
  <c r="I20" i="3"/>
  <c r="I25" i="6"/>
  <c r="C26" i="6" s="1"/>
  <c r="F19" i="2"/>
  <c r="H19" i="2" s="1"/>
  <c r="I17" i="19" l="1"/>
  <c r="D18" i="19" s="1"/>
  <c r="E18" i="19" s="1"/>
  <c r="I17" i="16"/>
  <c r="C18" i="16" s="1"/>
  <c r="F18" i="18"/>
  <c r="E18" i="18"/>
  <c r="N17" i="16"/>
  <c r="L17" i="16"/>
  <c r="I18" i="15"/>
  <c r="D19" i="15" s="1"/>
  <c r="F19" i="15" s="1"/>
  <c r="K20" i="13"/>
  <c r="I20" i="13"/>
  <c r="D21" i="13" s="1"/>
  <c r="C20" i="2"/>
  <c r="F20" i="3"/>
  <c r="H20" i="3" s="1"/>
  <c r="K20" i="3"/>
  <c r="E26" i="6"/>
  <c r="F26" i="6"/>
  <c r="G26" i="6" s="1"/>
  <c r="H26" i="6" s="1"/>
  <c r="D27" i="6" s="1"/>
  <c r="G19" i="2"/>
  <c r="I19" i="2" s="1"/>
  <c r="F18" i="19" l="1"/>
  <c r="J17" i="16"/>
  <c r="D18" i="16" s="1"/>
  <c r="G18" i="18"/>
  <c r="J18" i="18"/>
  <c r="H18" i="18" s="1"/>
  <c r="E19" i="15"/>
  <c r="G19" i="15"/>
  <c r="J19" i="15"/>
  <c r="L19" i="15"/>
  <c r="E21" i="13"/>
  <c r="F21" i="13"/>
  <c r="J20" i="3"/>
  <c r="D20" i="2"/>
  <c r="L20" i="3"/>
  <c r="M20" i="3" s="1"/>
  <c r="D21" i="3" s="1"/>
  <c r="N20" i="3"/>
  <c r="C21" i="3" s="1"/>
  <c r="I26" i="6"/>
  <c r="C27" i="6" s="1"/>
  <c r="G18" i="19" l="1"/>
  <c r="J18" i="19"/>
  <c r="L18" i="19"/>
  <c r="C19" i="18"/>
  <c r="K18" i="18"/>
  <c r="I18" i="18" s="1"/>
  <c r="G18" i="16"/>
  <c r="E18" i="16"/>
  <c r="F18" i="16" s="1"/>
  <c r="H19" i="15"/>
  <c r="C20" i="15" s="1"/>
  <c r="M19" i="15"/>
  <c r="K19" i="15"/>
  <c r="J21" i="13"/>
  <c r="H21" i="13"/>
  <c r="C22" i="13" s="1"/>
  <c r="G21" i="13"/>
  <c r="E20" i="2"/>
  <c r="G21" i="3"/>
  <c r="E21" i="3"/>
  <c r="I21" i="3"/>
  <c r="F27" i="6"/>
  <c r="G27" i="6" s="1"/>
  <c r="H27" i="6" s="1"/>
  <c r="D28" i="6" s="1"/>
  <c r="E27" i="6"/>
  <c r="F20" i="2"/>
  <c r="H20" i="2" s="1"/>
  <c r="H18" i="19" l="1"/>
  <c r="C19" i="19" s="1"/>
  <c r="M18" i="19"/>
  <c r="K18" i="19"/>
  <c r="D19" i="18"/>
  <c r="H18" i="16"/>
  <c r="M18" i="16"/>
  <c r="K18" i="16"/>
  <c r="I19" i="15"/>
  <c r="D20" i="15" s="1"/>
  <c r="E20" i="15" s="1"/>
  <c r="K21" i="13"/>
  <c r="I21" i="13"/>
  <c r="D22" i="13" s="1"/>
  <c r="C21" i="2"/>
  <c r="F21" i="3"/>
  <c r="J21" i="3" s="1"/>
  <c r="K21" i="3"/>
  <c r="I27" i="6"/>
  <c r="C28" i="6" s="1"/>
  <c r="G20" i="2"/>
  <c r="I20" i="2" s="1"/>
  <c r="I18" i="19" l="1"/>
  <c r="D19" i="19" s="1"/>
  <c r="I18" i="16"/>
  <c r="C19" i="16" s="1"/>
  <c r="E19" i="18"/>
  <c r="F19" i="18"/>
  <c r="N18" i="16"/>
  <c r="L18" i="16"/>
  <c r="F20" i="15"/>
  <c r="J20" i="15" s="1"/>
  <c r="F22" i="13"/>
  <c r="E22" i="13"/>
  <c r="H21" i="3"/>
  <c r="D21" i="2"/>
  <c r="L21" i="3"/>
  <c r="M21" i="3" s="1"/>
  <c r="D22" i="3" s="1"/>
  <c r="N21" i="3"/>
  <c r="C22" i="3" s="1"/>
  <c r="F28" i="6"/>
  <c r="G28" i="6" s="1"/>
  <c r="H28" i="6" s="1"/>
  <c r="D29" i="6" s="1"/>
  <c r="E28" i="6"/>
  <c r="F19" i="19" l="1"/>
  <c r="E19" i="19"/>
  <c r="J18" i="16"/>
  <c r="D19" i="16" s="1"/>
  <c r="G19" i="18"/>
  <c r="J19" i="18"/>
  <c r="H19" i="18" s="1"/>
  <c r="L20" i="15"/>
  <c r="H20" i="15" s="1"/>
  <c r="C21" i="15" s="1"/>
  <c r="G20" i="15"/>
  <c r="J22" i="13"/>
  <c r="G22" i="13"/>
  <c r="H22" i="13"/>
  <c r="C23" i="13" s="1"/>
  <c r="E21" i="2"/>
  <c r="G22" i="3"/>
  <c r="E22" i="3"/>
  <c r="I22" i="3"/>
  <c r="I28" i="6"/>
  <c r="C29" i="6" s="1"/>
  <c r="F21" i="2"/>
  <c r="H21" i="2" s="1"/>
  <c r="G19" i="19" l="1"/>
  <c r="L19" i="19"/>
  <c r="J19" i="19"/>
  <c r="C20" i="18"/>
  <c r="K19" i="18"/>
  <c r="I19" i="18" s="1"/>
  <c r="G19" i="16"/>
  <c r="E19" i="16"/>
  <c r="F19" i="16" s="1"/>
  <c r="M20" i="15"/>
  <c r="K20" i="15"/>
  <c r="K22" i="13"/>
  <c r="I22" i="13"/>
  <c r="D23" i="13" s="1"/>
  <c r="C22" i="2"/>
  <c r="F22" i="3"/>
  <c r="J22" i="3" s="1"/>
  <c r="K22" i="3"/>
  <c r="F29" i="6"/>
  <c r="G29" i="6" s="1"/>
  <c r="H29" i="6" s="1"/>
  <c r="D30" i="6" s="1"/>
  <c r="E29" i="6"/>
  <c r="G21" i="2"/>
  <c r="I21" i="2" s="1"/>
  <c r="H19" i="19" l="1"/>
  <c r="C20" i="19" s="1"/>
  <c r="M19" i="19"/>
  <c r="K19" i="19"/>
  <c r="D20" i="18"/>
  <c r="H19" i="16"/>
  <c r="K19" i="16"/>
  <c r="M19" i="16"/>
  <c r="I20" i="15"/>
  <c r="D21" i="15" s="1"/>
  <c r="E21" i="15" s="1"/>
  <c r="F23" i="13"/>
  <c r="E23" i="13"/>
  <c r="H22" i="3"/>
  <c r="D22" i="2"/>
  <c r="L22" i="3"/>
  <c r="M22" i="3" s="1"/>
  <c r="D23" i="3" s="1"/>
  <c r="N22" i="3"/>
  <c r="C23" i="3" s="1"/>
  <c r="I29" i="6"/>
  <c r="C30" i="6" s="1"/>
  <c r="I19" i="19" l="1"/>
  <c r="D20" i="19" s="1"/>
  <c r="E20" i="19" s="1"/>
  <c r="I19" i="16"/>
  <c r="C20" i="16" s="1"/>
  <c r="F20" i="18"/>
  <c r="E20" i="18"/>
  <c r="N19" i="16"/>
  <c r="L19" i="16"/>
  <c r="F21" i="15"/>
  <c r="G21" i="15" s="1"/>
  <c r="J23" i="13"/>
  <c r="G23" i="13"/>
  <c r="H23" i="13"/>
  <c r="C24" i="13" s="1"/>
  <c r="E22" i="2"/>
  <c r="G23" i="3"/>
  <c r="E23" i="3"/>
  <c r="I23" i="3"/>
  <c r="E30" i="6"/>
  <c r="F30" i="6"/>
  <c r="G30" i="6" s="1"/>
  <c r="H30" i="6" s="1"/>
  <c r="D31" i="6" s="1"/>
  <c r="F22" i="2"/>
  <c r="H22" i="2" s="1"/>
  <c r="F20" i="19" l="1"/>
  <c r="J19" i="16"/>
  <c r="D20" i="16" s="1"/>
  <c r="G20" i="18"/>
  <c r="J20" i="18"/>
  <c r="H20" i="18" s="1"/>
  <c r="J21" i="15"/>
  <c r="L21" i="15"/>
  <c r="K21" i="15"/>
  <c r="M21" i="15"/>
  <c r="K23" i="13"/>
  <c r="I23" i="13"/>
  <c r="D24" i="13" s="1"/>
  <c r="C23" i="2"/>
  <c r="F23" i="3"/>
  <c r="J23" i="3" s="1"/>
  <c r="K23" i="3"/>
  <c r="I30" i="6"/>
  <c r="C31" i="6" s="1"/>
  <c r="G22" i="2"/>
  <c r="I22" i="2" s="1"/>
  <c r="G20" i="19" l="1"/>
  <c r="J20" i="19"/>
  <c r="L20" i="19"/>
  <c r="C21" i="18"/>
  <c r="K20" i="18"/>
  <c r="I20" i="18" s="1"/>
  <c r="G20" i="16"/>
  <c r="E20" i="16"/>
  <c r="F20" i="16" s="1"/>
  <c r="H21" i="15"/>
  <c r="C22" i="15" s="1"/>
  <c r="I21" i="15"/>
  <c r="D22" i="15" s="1"/>
  <c r="E24" i="13"/>
  <c r="F24" i="13"/>
  <c r="H23" i="3"/>
  <c r="D23" i="2"/>
  <c r="L23" i="3"/>
  <c r="M23" i="3" s="1"/>
  <c r="D24" i="3" s="1"/>
  <c r="N23" i="3"/>
  <c r="C24" i="3" s="1"/>
  <c r="F31" i="6"/>
  <c r="G31" i="6" s="1"/>
  <c r="H31" i="6" s="1"/>
  <c r="D32" i="6" s="1"/>
  <c r="E31" i="6"/>
  <c r="H20" i="19" l="1"/>
  <c r="C21" i="19" s="1"/>
  <c r="M20" i="19"/>
  <c r="K20" i="19"/>
  <c r="D21" i="18"/>
  <c r="H20" i="16"/>
  <c r="M20" i="16"/>
  <c r="K20" i="16"/>
  <c r="F22" i="15"/>
  <c r="E22" i="15"/>
  <c r="J24" i="13"/>
  <c r="G24" i="13"/>
  <c r="H24" i="13"/>
  <c r="C25" i="13" s="1"/>
  <c r="E23" i="2"/>
  <c r="G24" i="3"/>
  <c r="E24" i="3"/>
  <c r="I24" i="3"/>
  <c r="I31" i="6"/>
  <c r="C32" i="6" s="1"/>
  <c r="E32" i="6" s="1"/>
  <c r="F23" i="2"/>
  <c r="H23" i="2" s="1"/>
  <c r="I20" i="19" l="1"/>
  <c r="D21" i="19" s="1"/>
  <c r="E21" i="19" s="1"/>
  <c r="I20" i="16"/>
  <c r="C21" i="16" s="1"/>
  <c r="E21" i="18"/>
  <c r="F21" i="18"/>
  <c r="N20" i="16"/>
  <c r="L20" i="16"/>
  <c r="G22" i="15"/>
  <c r="M22" i="15" s="1"/>
  <c r="J22" i="15"/>
  <c r="L22" i="15"/>
  <c r="K24" i="13"/>
  <c r="I24" i="13"/>
  <c r="D25" i="13" s="1"/>
  <c r="C24" i="2"/>
  <c r="F24" i="3"/>
  <c r="H24" i="3" s="1"/>
  <c r="K24" i="3"/>
  <c r="F32" i="6"/>
  <c r="G23" i="2"/>
  <c r="I23" i="2" s="1"/>
  <c r="F21" i="19" l="1"/>
  <c r="J20" i="16"/>
  <c r="D21" i="16" s="1"/>
  <c r="G21" i="18"/>
  <c r="J21" i="18"/>
  <c r="H21" i="18" s="1"/>
  <c r="H22" i="15"/>
  <c r="C23" i="15" s="1"/>
  <c r="K22" i="15"/>
  <c r="I22" i="15" s="1"/>
  <c r="D23" i="15" s="1"/>
  <c r="E25" i="13"/>
  <c r="F25" i="13"/>
  <c r="J24" i="3"/>
  <c r="I32" i="6"/>
  <c r="F33" i="6"/>
  <c r="D24" i="2"/>
  <c r="L24" i="3"/>
  <c r="M24" i="3" s="1"/>
  <c r="D25" i="3" s="1"/>
  <c r="N24" i="3"/>
  <c r="C25" i="3" s="1"/>
  <c r="G32" i="6"/>
  <c r="G21" i="19" l="1"/>
  <c r="L21" i="19"/>
  <c r="J21" i="19"/>
  <c r="C22" i="18"/>
  <c r="K21" i="18"/>
  <c r="I21" i="18" s="1"/>
  <c r="G21" i="16"/>
  <c r="E21" i="16"/>
  <c r="F21" i="16" s="1"/>
  <c r="F23" i="15"/>
  <c r="E23" i="15"/>
  <c r="J25" i="13"/>
  <c r="H25" i="13"/>
  <c r="C26" i="13" s="1"/>
  <c r="G25" i="13"/>
  <c r="H32" i="6"/>
  <c r="G33" i="6"/>
  <c r="H33" i="6" s="1"/>
  <c r="G25" i="3"/>
  <c r="E25" i="3"/>
  <c r="I25" i="3"/>
  <c r="E24" i="2"/>
  <c r="F24" i="2"/>
  <c r="H24" i="2" s="1"/>
  <c r="H21" i="19" l="1"/>
  <c r="C22" i="19" s="1"/>
  <c r="M21" i="19"/>
  <c r="K21" i="19"/>
  <c r="D22" i="18"/>
  <c r="H21" i="16"/>
  <c r="M21" i="16"/>
  <c r="K21" i="16"/>
  <c r="J23" i="15"/>
  <c r="G23" i="15"/>
  <c r="L23" i="15"/>
  <c r="K25" i="13"/>
  <c r="I25" i="13"/>
  <c r="D26" i="13" s="1"/>
  <c r="C25" i="2"/>
  <c r="F25" i="3"/>
  <c r="J25" i="3" s="1"/>
  <c r="K25" i="3"/>
  <c r="G24" i="2"/>
  <c r="I24" i="2" s="1"/>
  <c r="I21" i="19" l="1"/>
  <c r="D22" i="19" s="1"/>
  <c r="E22" i="19" s="1"/>
  <c r="I21" i="16"/>
  <c r="C22" i="16" s="1"/>
  <c r="E22" i="18"/>
  <c r="F22" i="18"/>
  <c r="N21" i="16"/>
  <c r="L21" i="16"/>
  <c r="M23" i="15"/>
  <c r="H23" i="15"/>
  <c r="C24" i="15" s="1"/>
  <c r="K23" i="15"/>
  <c r="E26" i="13"/>
  <c r="F26" i="13"/>
  <c r="D25" i="2"/>
  <c r="L25" i="3"/>
  <c r="M25" i="3" s="1"/>
  <c r="D26" i="3" s="1"/>
  <c r="N25" i="3"/>
  <c r="C26" i="3" s="1"/>
  <c r="H25" i="3"/>
  <c r="F22" i="19" l="1"/>
  <c r="J21" i="16"/>
  <c r="D22" i="16" s="1"/>
  <c r="G22" i="18"/>
  <c r="J22" i="18"/>
  <c r="H22" i="18" s="1"/>
  <c r="I23" i="15"/>
  <c r="D24" i="15" s="1"/>
  <c r="E24" i="15" s="1"/>
  <c r="J26" i="13"/>
  <c r="H26" i="13"/>
  <c r="C27" i="13" s="1"/>
  <c r="G26" i="13"/>
  <c r="E25" i="2"/>
  <c r="G26" i="3"/>
  <c r="E26" i="3"/>
  <c r="I26" i="3"/>
  <c r="F25" i="2"/>
  <c r="H25" i="2" s="1"/>
  <c r="G22" i="19" l="1"/>
  <c r="J22" i="19"/>
  <c r="L22" i="19"/>
  <c r="E22" i="16"/>
  <c r="F22" i="16" s="1"/>
  <c r="C23" i="18"/>
  <c r="K22" i="18"/>
  <c r="I22" i="18" s="1"/>
  <c r="G22" i="16"/>
  <c r="F24" i="15"/>
  <c r="K26" i="13"/>
  <c r="I26" i="13"/>
  <c r="D27" i="13" s="1"/>
  <c r="C26" i="2"/>
  <c r="F26" i="3"/>
  <c r="J26" i="3" s="1"/>
  <c r="K26" i="3"/>
  <c r="G25" i="2"/>
  <c r="I25" i="2" s="1"/>
  <c r="H22" i="19" l="1"/>
  <c r="C23" i="19" s="1"/>
  <c r="M22" i="19"/>
  <c r="K22" i="19"/>
  <c r="D23" i="18"/>
  <c r="H22" i="16"/>
  <c r="K22" i="16"/>
  <c r="M22" i="16"/>
  <c r="L24" i="15"/>
  <c r="G24" i="15"/>
  <c r="M24" i="15" s="1"/>
  <c r="J24" i="15"/>
  <c r="E27" i="13"/>
  <c r="F27" i="13"/>
  <c r="H26" i="3"/>
  <c r="D26" i="2"/>
  <c r="L26" i="3"/>
  <c r="M26" i="3" s="1"/>
  <c r="D27" i="3" s="1"/>
  <c r="N26" i="3"/>
  <c r="C27" i="3" s="1"/>
  <c r="I22" i="19" l="1"/>
  <c r="D23" i="19" s="1"/>
  <c r="E23" i="19" s="1"/>
  <c r="I22" i="16"/>
  <c r="C23" i="16" s="1"/>
  <c r="E23" i="18"/>
  <c r="F23" i="18"/>
  <c r="L22" i="16"/>
  <c r="N22" i="16"/>
  <c r="K24" i="15"/>
  <c r="I24" i="15" s="1"/>
  <c r="D25" i="15" s="1"/>
  <c r="H24" i="15"/>
  <c r="C25" i="15" s="1"/>
  <c r="J27" i="13"/>
  <c r="G27" i="13"/>
  <c r="H27" i="13"/>
  <c r="C28" i="13" s="1"/>
  <c r="E26" i="2"/>
  <c r="E27" i="3"/>
  <c r="G27" i="3"/>
  <c r="I27" i="3"/>
  <c r="F26" i="2"/>
  <c r="H26" i="2" s="1"/>
  <c r="F23" i="19" l="1"/>
  <c r="J22" i="16"/>
  <c r="D23" i="16" s="1"/>
  <c r="G23" i="18"/>
  <c r="J23" i="18"/>
  <c r="H23" i="18" s="1"/>
  <c r="E25" i="15"/>
  <c r="F25" i="15"/>
  <c r="K27" i="13"/>
  <c r="I27" i="13"/>
  <c r="D28" i="13" s="1"/>
  <c r="C27" i="2"/>
  <c r="F27" i="3"/>
  <c r="J27" i="3" s="1"/>
  <c r="K27" i="3"/>
  <c r="G26" i="2"/>
  <c r="I26" i="2" s="1"/>
  <c r="G23" i="19" l="1"/>
  <c r="L23" i="19"/>
  <c r="J23" i="19"/>
  <c r="C24" i="18"/>
  <c r="K23" i="18"/>
  <c r="I23" i="18" s="1"/>
  <c r="G23" i="16"/>
  <c r="E23" i="16"/>
  <c r="F23" i="16" s="1"/>
  <c r="J25" i="15"/>
  <c r="L25" i="15"/>
  <c r="G25" i="15"/>
  <c r="M25" i="15" s="1"/>
  <c r="F28" i="13"/>
  <c r="E28" i="13"/>
  <c r="D27" i="2"/>
  <c r="L27" i="3"/>
  <c r="M27" i="3" s="1"/>
  <c r="D28" i="3" s="1"/>
  <c r="N27" i="3"/>
  <c r="C28" i="3" s="1"/>
  <c r="H27" i="3"/>
  <c r="M23" i="19" l="1"/>
  <c r="K23" i="19"/>
  <c r="H23" i="19"/>
  <c r="C24" i="19" s="1"/>
  <c r="D24" i="18"/>
  <c r="H23" i="16"/>
  <c r="M23" i="16"/>
  <c r="K23" i="16"/>
  <c r="H25" i="15"/>
  <c r="C26" i="15" s="1"/>
  <c r="K25" i="15"/>
  <c r="I25" i="15" s="1"/>
  <c r="D26" i="15" s="1"/>
  <c r="J28" i="13"/>
  <c r="G28" i="13"/>
  <c r="H28" i="13"/>
  <c r="C29" i="13" s="1"/>
  <c r="E27" i="2"/>
  <c r="G28" i="3"/>
  <c r="E28" i="3"/>
  <c r="I28" i="3"/>
  <c r="F27" i="2"/>
  <c r="H27" i="2" s="1"/>
  <c r="I23" i="19" l="1"/>
  <c r="D24" i="19" s="1"/>
  <c r="I23" i="16"/>
  <c r="C24" i="16" s="1"/>
  <c r="F24" i="18"/>
  <c r="E24" i="18"/>
  <c r="N23" i="16"/>
  <c r="L23" i="16"/>
  <c r="F26" i="15"/>
  <c r="E26" i="15"/>
  <c r="K28" i="13"/>
  <c r="I28" i="13"/>
  <c r="D29" i="13" s="1"/>
  <c r="C28" i="2"/>
  <c r="F28" i="3"/>
  <c r="H28" i="3" s="1"/>
  <c r="K28" i="3"/>
  <c r="G27" i="2"/>
  <c r="I27" i="2" s="1"/>
  <c r="F24" i="19" l="1"/>
  <c r="E24" i="19"/>
  <c r="J23" i="16"/>
  <c r="D24" i="16" s="1"/>
  <c r="G24" i="18"/>
  <c r="J24" i="18"/>
  <c r="H24" i="18" s="1"/>
  <c r="G26" i="15"/>
  <c r="L26" i="15"/>
  <c r="J26" i="15"/>
  <c r="F29" i="13"/>
  <c r="E29" i="13"/>
  <c r="J28" i="3"/>
  <c r="D28" i="2"/>
  <c r="L28" i="3"/>
  <c r="M28" i="3" s="1"/>
  <c r="D29" i="3" s="1"/>
  <c r="N28" i="3"/>
  <c r="C29" i="3" s="1"/>
  <c r="G24" i="19" l="1"/>
  <c r="L24" i="19"/>
  <c r="J24" i="19"/>
  <c r="C25" i="18"/>
  <c r="K24" i="18"/>
  <c r="I24" i="18" s="1"/>
  <c r="G24" i="16"/>
  <c r="E24" i="16"/>
  <c r="F24" i="16" s="1"/>
  <c r="M26" i="15"/>
  <c r="K26" i="15"/>
  <c r="H26" i="15"/>
  <c r="C27" i="15" s="1"/>
  <c r="J29" i="13"/>
  <c r="G29" i="13"/>
  <c r="H29" i="13"/>
  <c r="C30" i="13" s="1"/>
  <c r="E28" i="2"/>
  <c r="G29" i="3"/>
  <c r="E29" i="3"/>
  <c r="I29" i="3"/>
  <c r="F28" i="2"/>
  <c r="H28" i="2" s="1"/>
  <c r="H24" i="19" l="1"/>
  <c r="C25" i="19" s="1"/>
  <c r="M24" i="19"/>
  <c r="K24" i="19"/>
  <c r="D25" i="18"/>
  <c r="H24" i="16"/>
  <c r="M24" i="16"/>
  <c r="K24" i="16"/>
  <c r="I26" i="15"/>
  <c r="D27" i="15" s="1"/>
  <c r="E27" i="15" s="1"/>
  <c r="K29" i="13"/>
  <c r="I29" i="13"/>
  <c r="D30" i="13" s="1"/>
  <c r="C29" i="2"/>
  <c r="F29" i="3"/>
  <c r="J29" i="3" s="1"/>
  <c r="K29" i="3"/>
  <c r="G28" i="2"/>
  <c r="I28" i="2" s="1"/>
  <c r="I24" i="19" l="1"/>
  <c r="D25" i="19" s="1"/>
  <c r="I24" i="16"/>
  <c r="C25" i="16" s="1"/>
  <c r="F25" i="18"/>
  <c r="E25" i="18"/>
  <c r="N24" i="16"/>
  <c r="L24" i="16"/>
  <c r="F27" i="15"/>
  <c r="G27" i="15" s="1"/>
  <c r="M27" i="15" s="1"/>
  <c r="F30" i="13"/>
  <c r="E30" i="13"/>
  <c r="H29" i="3"/>
  <c r="D29" i="2"/>
  <c r="L29" i="3"/>
  <c r="M29" i="3" s="1"/>
  <c r="D30" i="3" s="1"/>
  <c r="N29" i="3"/>
  <c r="C30" i="3" s="1"/>
  <c r="F25" i="19" l="1"/>
  <c r="E25" i="19"/>
  <c r="J24" i="16"/>
  <c r="D25" i="16" s="1"/>
  <c r="G25" i="18"/>
  <c r="J25" i="18"/>
  <c r="H25" i="18" s="1"/>
  <c r="J27" i="15"/>
  <c r="K27" i="15"/>
  <c r="I27" i="15" s="1"/>
  <c r="D28" i="15" s="1"/>
  <c r="L27" i="15"/>
  <c r="J30" i="13"/>
  <c r="H30" i="13"/>
  <c r="C31" i="13" s="1"/>
  <c r="G30" i="13"/>
  <c r="E29" i="2"/>
  <c r="G30" i="3"/>
  <c r="E30" i="3"/>
  <c r="I30" i="3"/>
  <c r="F29" i="2"/>
  <c r="H29" i="2" s="1"/>
  <c r="G25" i="19" l="1"/>
  <c r="J25" i="19"/>
  <c r="L25" i="19"/>
  <c r="C26" i="18"/>
  <c r="K25" i="18"/>
  <c r="I25" i="18" s="1"/>
  <c r="G25" i="16"/>
  <c r="E25" i="16"/>
  <c r="F25" i="16" s="1"/>
  <c r="H27" i="15"/>
  <c r="C28" i="15" s="1"/>
  <c r="F28" i="15" s="1"/>
  <c r="K30" i="13"/>
  <c r="I30" i="13"/>
  <c r="D31" i="13" s="1"/>
  <c r="C30" i="2"/>
  <c r="F30" i="3"/>
  <c r="J30" i="3" s="1"/>
  <c r="K30" i="3"/>
  <c r="G29" i="2"/>
  <c r="I29" i="2" s="1"/>
  <c r="H25" i="19" l="1"/>
  <c r="C26" i="19" s="1"/>
  <c r="M25" i="19"/>
  <c r="K25" i="19"/>
  <c r="D26" i="18"/>
  <c r="H25" i="16"/>
  <c r="K25" i="16"/>
  <c r="M25" i="16"/>
  <c r="L28" i="15"/>
  <c r="G28" i="15"/>
  <c r="J28" i="15"/>
  <c r="E28" i="15"/>
  <c r="F31" i="13"/>
  <c r="E31" i="13"/>
  <c r="H30" i="3"/>
  <c r="D30" i="2"/>
  <c r="L30" i="3"/>
  <c r="M30" i="3" s="1"/>
  <c r="D31" i="3" s="1"/>
  <c r="N30" i="3"/>
  <c r="C31" i="3" s="1"/>
  <c r="I25" i="19" l="1"/>
  <c r="D26" i="19" s="1"/>
  <c r="I25" i="16"/>
  <c r="C26" i="16" s="1"/>
  <c r="E26" i="18"/>
  <c r="F26" i="18"/>
  <c r="L25" i="16"/>
  <c r="N25" i="16"/>
  <c r="K28" i="15"/>
  <c r="M28" i="15"/>
  <c r="H28" i="15"/>
  <c r="C29" i="15" s="1"/>
  <c r="J31" i="13"/>
  <c r="G31" i="13"/>
  <c r="H31" i="13"/>
  <c r="C32" i="13" s="1"/>
  <c r="E30" i="2"/>
  <c r="G31" i="3"/>
  <c r="E31" i="3"/>
  <c r="I31" i="3"/>
  <c r="F30" i="2"/>
  <c r="H30" i="2" s="1"/>
  <c r="F26" i="19" l="1"/>
  <c r="E26" i="19"/>
  <c r="J25" i="16"/>
  <c r="D26" i="16" s="1"/>
  <c r="G26" i="18"/>
  <c r="J26" i="18"/>
  <c r="H26" i="18" s="1"/>
  <c r="I28" i="15"/>
  <c r="D29" i="15" s="1"/>
  <c r="F29" i="15" s="1"/>
  <c r="K31" i="13"/>
  <c r="I31" i="13"/>
  <c r="D32" i="13" s="1"/>
  <c r="E32" i="13" s="1"/>
  <c r="C31" i="2"/>
  <c r="F31" i="3"/>
  <c r="H31" i="3" s="1"/>
  <c r="K31" i="3"/>
  <c r="G30" i="2"/>
  <c r="I30" i="2" s="1"/>
  <c r="G26" i="19" l="1"/>
  <c r="J26" i="19"/>
  <c r="L26" i="19"/>
  <c r="C27" i="18"/>
  <c r="K26" i="18"/>
  <c r="I26" i="18" s="1"/>
  <c r="G26" i="16"/>
  <c r="E26" i="16"/>
  <c r="F26" i="16" s="1"/>
  <c r="E29" i="15"/>
  <c r="J29" i="15"/>
  <c r="L29" i="15"/>
  <c r="G29" i="15"/>
  <c r="K29" i="15" s="1"/>
  <c r="F32" i="13"/>
  <c r="J31" i="3"/>
  <c r="D31" i="2"/>
  <c r="L31" i="3"/>
  <c r="M31" i="3" s="1"/>
  <c r="D32" i="3" s="1"/>
  <c r="N31" i="3"/>
  <c r="C32" i="3" s="1"/>
  <c r="H26" i="19" l="1"/>
  <c r="C27" i="19" s="1"/>
  <c r="M26" i="19"/>
  <c r="K26" i="19"/>
  <c r="D27" i="18"/>
  <c r="H29" i="15"/>
  <c r="C30" i="15" s="1"/>
  <c r="H26" i="16"/>
  <c r="M26" i="16"/>
  <c r="K26" i="16"/>
  <c r="M29" i="15"/>
  <c r="I29" i="15" s="1"/>
  <c r="D30" i="15" s="1"/>
  <c r="J32" i="13"/>
  <c r="G32" i="13"/>
  <c r="H32" i="13"/>
  <c r="E31" i="2"/>
  <c r="G32" i="3"/>
  <c r="E32" i="3"/>
  <c r="I32" i="3"/>
  <c r="F31" i="2"/>
  <c r="H31" i="2" s="1"/>
  <c r="I26" i="19" l="1"/>
  <c r="D27" i="19" s="1"/>
  <c r="E27" i="19" s="1"/>
  <c r="I26" i="16"/>
  <c r="C27" i="16" s="1"/>
  <c r="E27" i="18"/>
  <c r="F27" i="18"/>
  <c r="N26" i="16"/>
  <c r="L26" i="16"/>
  <c r="F30" i="15"/>
  <c r="E30" i="15"/>
  <c r="K32" i="13"/>
  <c r="I32" i="13"/>
  <c r="C32" i="2"/>
  <c r="F32" i="3"/>
  <c r="F33" i="3" s="1"/>
  <c r="K32" i="3"/>
  <c r="G31" i="2"/>
  <c r="I31" i="2" s="1"/>
  <c r="F27" i="19" l="1"/>
  <c r="J26" i="16"/>
  <c r="D27" i="16" s="1"/>
  <c r="G27" i="18"/>
  <c r="J27" i="18"/>
  <c r="H27" i="18" s="1"/>
  <c r="J30" i="15"/>
  <c r="G30" i="15"/>
  <c r="L30" i="15"/>
  <c r="J32" i="3"/>
  <c r="H32" i="3"/>
  <c r="D32" i="2"/>
  <c r="L32" i="3"/>
  <c r="K33" i="3"/>
  <c r="N32" i="3"/>
  <c r="G27" i="19" l="1"/>
  <c r="J27" i="19"/>
  <c r="L27" i="19"/>
  <c r="E27" i="16"/>
  <c r="F27" i="16" s="1"/>
  <c r="C28" i="18"/>
  <c r="K27" i="18"/>
  <c r="I27" i="18" s="1"/>
  <c r="G27" i="16"/>
  <c r="M30" i="15"/>
  <c r="K30" i="15"/>
  <c r="H30" i="15"/>
  <c r="C31" i="15" s="1"/>
  <c r="E32" i="2"/>
  <c r="L33" i="3"/>
  <c r="M32" i="3"/>
  <c r="F32" i="2"/>
  <c r="H32" i="2" s="1"/>
  <c r="H27" i="19" l="1"/>
  <c r="C28" i="19" s="1"/>
  <c r="M27" i="19"/>
  <c r="K27" i="19"/>
  <c r="D28" i="18"/>
  <c r="H27" i="16"/>
  <c r="K27" i="16"/>
  <c r="M27" i="16"/>
  <c r="I30" i="15"/>
  <c r="D31" i="15" s="1"/>
  <c r="G32" i="2"/>
  <c r="I32" i="2" s="1"/>
  <c r="I27" i="19" l="1"/>
  <c r="D28" i="19" s="1"/>
  <c r="E28" i="19" s="1"/>
  <c r="I27" i="16"/>
  <c r="C28" i="16" s="1"/>
  <c r="E28" i="18"/>
  <c r="F28" i="18"/>
  <c r="N27" i="16"/>
  <c r="L27" i="16"/>
  <c r="E31" i="15"/>
  <c r="F31" i="15"/>
  <c r="G33" i="2"/>
  <c r="F28" i="19" l="1"/>
  <c r="J27" i="16"/>
  <c r="D28" i="16" s="1"/>
  <c r="G28" i="18"/>
  <c r="J28" i="18"/>
  <c r="H28" i="18" s="1"/>
  <c r="G31" i="15"/>
  <c r="L31" i="15"/>
  <c r="J31" i="15"/>
  <c r="G28" i="19" l="1"/>
  <c r="J28" i="19"/>
  <c r="L28" i="19"/>
  <c r="C29" i="18"/>
  <c r="K28" i="18"/>
  <c r="I28" i="18" s="1"/>
  <c r="G28" i="16"/>
  <c r="E28" i="16"/>
  <c r="F28" i="16" s="1"/>
  <c r="H31" i="15"/>
  <c r="C32" i="15" s="1"/>
  <c r="K31" i="15"/>
  <c r="M31" i="15"/>
  <c r="H28" i="19" l="1"/>
  <c r="C29" i="19" s="1"/>
  <c r="M28" i="19"/>
  <c r="K28" i="19"/>
  <c r="D29" i="18"/>
  <c r="H28" i="16"/>
  <c r="M28" i="16"/>
  <c r="K28" i="16"/>
  <c r="I31" i="15"/>
  <c r="D32" i="15" s="1"/>
  <c r="F32" i="15" s="1"/>
  <c r="J32" i="15" s="1"/>
  <c r="I28" i="19" l="1"/>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alcChain>
</file>

<file path=xl/comments1.xml><?xml version="1.0" encoding="utf-8"?>
<comments xmlns="http://schemas.openxmlformats.org/spreadsheetml/2006/main">
  <authors>
    <author>Rachel Thomas</author>
  </authors>
  <commentList>
    <comment ref="C2" authorId="0" shapeId="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shapeId="0">
      <text>
        <r>
          <rPr>
            <b/>
            <sz val="9"/>
            <color indexed="81"/>
            <rFont val="Tahoma"/>
            <family val="2"/>
          </rPr>
          <t>Rachel Thomas:</t>
        </r>
        <r>
          <rPr>
            <sz val="9"/>
            <color indexed="81"/>
            <rFont val="Tahoma"/>
            <family val="2"/>
          </rPr>
          <t xml:space="preserve">
x values are randomly chosen.  For CNNs, x would be our image data</t>
        </r>
      </text>
    </comment>
    <comment ref="C5" authorId="0" shapeId="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authors>
    <author>Jeremy Howard</author>
    <author>Rachel Thomas</author>
  </authors>
  <commentList>
    <comment ref="C1" authorId="0" shapeId="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shapeId="0">
      <text>
        <r>
          <rPr>
            <b/>
            <sz val="9"/>
            <color indexed="81"/>
            <rFont val="Tahoma"/>
            <family val="2"/>
          </rPr>
          <t>Jeremy Howard:</t>
        </r>
        <r>
          <rPr>
            <sz val="9"/>
            <color indexed="81"/>
            <rFont val="Tahoma"/>
            <family val="2"/>
          </rPr>
          <t xml:space="preserve">
Our learning rate, which defines how quickly we update our guesses</t>
        </r>
      </text>
    </comment>
    <comment ref="A3" authorId="0" shapeId="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shapeId="0">
      <text>
        <r>
          <rPr>
            <b/>
            <sz val="9"/>
            <color indexed="81"/>
            <rFont val="Tahoma"/>
            <family val="2"/>
          </rPr>
          <t>Rachel Thomas:</t>
        </r>
        <r>
          <rPr>
            <sz val="9"/>
            <color indexed="81"/>
            <rFont val="Tahoma"/>
            <family val="2"/>
          </rPr>
          <t xml:space="preserve">
calculating numerically
</t>
        </r>
      </text>
    </comment>
    <comment ref="K3" authorId="1" shapeId="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shapeId="0">
      <text>
        <r>
          <rPr>
            <b/>
            <sz val="9"/>
            <color indexed="81"/>
            <rFont val="Tahoma"/>
            <family val="2"/>
          </rPr>
          <t>Jeremy Howard:</t>
        </r>
        <r>
          <rPr>
            <sz val="9"/>
            <color indexed="81"/>
            <rFont val="Tahoma"/>
            <family val="2"/>
          </rPr>
          <t xml:space="preserve">
This is our guess for the first row of data</t>
        </r>
      </text>
    </comment>
    <comment ref="M4" authorId="0" shapeId="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shapeId="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<sst xmlns="http://schemas.openxmlformats.org/spreadsheetml/2006/main" count="164" uniqueCount="71">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</sst>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9525</xdr:rowOff>
        </xdr:from>
        <xdr:to>
          <xdr:col>0</xdr:col>
          <xdr:colOff>500063</xdr:colOff>
          <xdr:row>1</xdr:row>
          <xdr:rowOff>209550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19050</xdr:rowOff>
        </xdr:from>
        <xdr:to>
          <xdr:col>0</xdr:col>
          <xdr:colOff>500063</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638175</xdr:colOff>
          <xdr:row>0</xdr:row>
          <xdr:rowOff>180975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9525</xdr:rowOff>
        </xdr:from>
        <xdr:to>
          <xdr:col>0</xdr:col>
          <xdr:colOff>638175</xdr:colOff>
          <xdr:row>1</xdr:row>
          <xdr:rowOff>180975</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8.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5"/>
  <sheetViews>
    <sheetView tabSelected="1" workbookViewId="0">
      <selection activeCell="A37" sqref="A37"/>
    </sheetView>
  </sheetViews>
  <sheetFormatPr defaultColWidth="9.1328125" defaultRowHeight="18" x14ac:dyDescent="0.55000000000000004"/>
  <cols>
    <col min="1" max="1" width="15.73046875" style="14" customWidth="1"/>
    <col min="2" max="2" width="160.33203125" style="15" customWidth="1"/>
    <col min="3" max="16384" width="9.1328125" style="14"/>
  </cols>
  <sheetData>
    <row r="1" spans="1:1" x14ac:dyDescent="0.55000000000000004">
      <c r="A1" s="13" t="s">
        <v>31</v>
      </c>
    </row>
    <row r="2" spans="1:1" x14ac:dyDescent="0.55000000000000004">
      <c r="A2" s="14" t="s">
        <v>33</v>
      </c>
    </row>
    <row r="3" spans="1:1" x14ac:dyDescent="0.55000000000000004">
      <c r="A3" s="14" t="s">
        <v>32</v>
      </c>
    </row>
    <row r="5" spans="1:1" x14ac:dyDescent="0.55000000000000004">
      <c r="A5" s="16" t="s">
        <v>55</v>
      </c>
    </row>
    <row r="6" spans="1:1" x14ac:dyDescent="0.55000000000000004">
      <c r="A6" s="17" t="s">
        <v>56</v>
      </c>
    </row>
    <row r="7" spans="1:1" x14ac:dyDescent="0.55000000000000004">
      <c r="A7" s="13"/>
    </row>
    <row r="8" spans="1:1" x14ac:dyDescent="0.55000000000000004">
      <c r="A8" s="13" t="s">
        <v>51</v>
      </c>
    </row>
    <row r="9" spans="1:1" x14ac:dyDescent="0.55000000000000004">
      <c r="A9" s="14" t="s">
        <v>53</v>
      </c>
    </row>
    <row r="10" spans="1:1" x14ac:dyDescent="0.55000000000000004">
      <c r="A10" s="14" t="s">
        <v>54</v>
      </c>
    </row>
    <row r="11" spans="1:1" x14ac:dyDescent="0.55000000000000004">
      <c r="A11" s="14" t="s">
        <v>52</v>
      </c>
    </row>
    <row r="12" spans="1:1" x14ac:dyDescent="0.55000000000000004">
      <c r="A12" s="13"/>
    </row>
    <row r="13" spans="1:1" x14ac:dyDescent="0.55000000000000004">
      <c r="A13" s="14" t="s">
        <v>57</v>
      </c>
    </row>
    <row r="14" spans="1:1" x14ac:dyDescent="0.55000000000000004">
      <c r="A14" s="14" t="s">
        <v>58</v>
      </c>
    </row>
    <row r="15" spans="1:1" x14ac:dyDescent="0.55000000000000004">
      <c r="A15" s="13"/>
    </row>
    <row r="16" spans="1:1" ht="18.399999999999999" thickBot="1" x14ac:dyDescent="0.6">
      <c r="A16" s="13" t="s">
        <v>42</v>
      </c>
    </row>
    <row r="17" spans="1:2" ht="36" x14ac:dyDescent="0.55000000000000004">
      <c r="A17" s="18" t="s">
        <v>34</v>
      </c>
      <c r="B17" s="19" t="s">
        <v>61</v>
      </c>
    </row>
    <row r="18" spans="1:2" ht="36" x14ac:dyDescent="0.55000000000000004">
      <c r="A18" s="20"/>
      <c r="B18" s="21" t="s">
        <v>35</v>
      </c>
    </row>
    <row r="19" spans="1:2" ht="18.399999999999999" thickBot="1" x14ac:dyDescent="0.6">
      <c r="A19" s="22"/>
      <c r="B19" s="23" t="s">
        <v>62</v>
      </c>
    </row>
    <row r="20" spans="1:2" ht="36" x14ac:dyDescent="0.55000000000000004">
      <c r="A20" s="18" t="s">
        <v>36</v>
      </c>
      <c r="B20" s="19" t="s">
        <v>63</v>
      </c>
    </row>
    <row r="21" spans="1:2" ht="36.4" thickBot="1" x14ac:dyDescent="0.6">
      <c r="A21" s="22"/>
      <c r="B21" s="23" t="s">
        <v>38</v>
      </c>
    </row>
    <row r="22" spans="1:2" x14ac:dyDescent="0.55000000000000004">
      <c r="A22" s="18" t="s">
        <v>39</v>
      </c>
      <c r="B22" s="19" t="s">
        <v>64</v>
      </c>
    </row>
    <row r="23" spans="1:2" ht="18.399999999999999" thickBot="1" x14ac:dyDescent="0.6">
      <c r="A23" s="24"/>
      <c r="B23" s="23" t="s">
        <v>65</v>
      </c>
    </row>
    <row r="24" spans="1:2" ht="18.399999999999999" thickBot="1" x14ac:dyDescent="0.6">
      <c r="A24" s="25" t="s">
        <v>40</v>
      </c>
      <c r="B24" s="26" t="s">
        <v>66</v>
      </c>
    </row>
    <row r="25" spans="1:2" ht="18.399999999999999" thickBot="1" x14ac:dyDescent="0.6">
      <c r="A25" s="25" t="s">
        <v>41</v>
      </c>
      <c r="B25" s="26" t="s">
        <v>67</v>
      </c>
    </row>
    <row r="26" spans="1:2" ht="18.399999999999999" thickBot="1" x14ac:dyDescent="0.6">
      <c r="A26" s="25" t="s">
        <v>43</v>
      </c>
      <c r="B26" s="26" t="s">
        <v>44</v>
      </c>
    </row>
    <row r="27" spans="1:2" ht="18.399999999999999" thickBot="1" x14ac:dyDescent="0.6">
      <c r="A27" s="25" t="s">
        <v>45</v>
      </c>
      <c r="B27" s="26" t="s">
        <v>68</v>
      </c>
    </row>
    <row r="28" spans="1:2" ht="18.399999999999999" thickBot="1" x14ac:dyDescent="0.6">
      <c r="A28" s="25" t="s">
        <v>46</v>
      </c>
      <c r="B28" s="26" t="s">
        <v>47</v>
      </c>
    </row>
    <row r="29" spans="1:2" ht="18.399999999999999" thickBot="1" x14ac:dyDescent="0.6">
      <c r="A29" s="25" t="s">
        <v>48</v>
      </c>
      <c r="B29" s="26" t="s">
        <v>49</v>
      </c>
    </row>
    <row r="30" spans="1:2" x14ac:dyDescent="0.55000000000000004">
      <c r="A30" s="13"/>
    </row>
    <row r="31" spans="1:2" x14ac:dyDescent="0.55000000000000004">
      <c r="A31" s="13"/>
      <c r="B31" s="15" t="s">
        <v>69</v>
      </c>
    </row>
    <row r="32" spans="1:2" x14ac:dyDescent="0.55000000000000004">
      <c r="A32" s="13"/>
      <c r="B32" s="15" t="s">
        <v>70</v>
      </c>
    </row>
    <row r="34" spans="1:1" x14ac:dyDescent="0.55000000000000004">
      <c r="A34" s="13" t="s">
        <v>59</v>
      </c>
    </row>
    <row r="35" spans="1:1" x14ac:dyDescent="0.55000000000000004">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
  <dimension ref="A1:C34"/>
  <sheetViews>
    <sheetView zoomScale="130" zoomScaleNormal="130" workbookViewId="0">
      <selection activeCell="B32" sqref="B32"/>
    </sheetView>
  </sheetViews>
  <sheetFormatPr defaultRowHeight="14.25" x14ac:dyDescent="0.45"/>
  <sheetData>
    <row r="1" spans="1:3" x14ac:dyDescent="0.45">
      <c r="A1" t="s">
        <v>50</v>
      </c>
    </row>
    <row r="2" spans="1:3" x14ac:dyDescent="0.45">
      <c r="A2" t="s">
        <v>21</v>
      </c>
      <c r="B2" t="s">
        <v>23</v>
      </c>
      <c r="C2">
        <v>30</v>
      </c>
    </row>
    <row r="3" spans="1:3" x14ac:dyDescent="0.45">
      <c r="A3" t="s">
        <v>22</v>
      </c>
      <c r="B3" t="s">
        <v>0</v>
      </c>
      <c r="C3">
        <v>2</v>
      </c>
    </row>
    <row r="5" spans="1:3" x14ac:dyDescent="0.45">
      <c r="B5" t="s">
        <v>15</v>
      </c>
      <c r="C5" t="s">
        <v>37</v>
      </c>
    </row>
    <row r="6" spans="1:3" x14ac:dyDescent="0.45">
      <c r="B6">
        <f t="shared" ref="B6:B34" ca="1" si="0">RANDBETWEEN(1,100)</f>
        <v>76</v>
      </c>
      <c r="C6">
        <f ca="1">$C$2+B6*$C$3</f>
        <v>182</v>
      </c>
    </row>
    <row r="7" spans="1:3" x14ac:dyDescent="0.45">
      <c r="B7">
        <f t="shared" ca="1" si="0"/>
        <v>71</v>
      </c>
      <c r="C7">
        <f t="shared" ref="C7:C34" ca="1" si="1">$C$2+B7*$C$3</f>
        <v>172</v>
      </c>
    </row>
    <row r="8" spans="1:3" x14ac:dyDescent="0.45">
      <c r="B8">
        <f t="shared" ca="1" si="0"/>
        <v>79</v>
      </c>
      <c r="C8">
        <f t="shared" ca="1" si="1"/>
        <v>188</v>
      </c>
    </row>
    <row r="9" spans="1:3" x14ac:dyDescent="0.45">
      <c r="B9">
        <f t="shared" ca="1" si="0"/>
        <v>25</v>
      </c>
      <c r="C9">
        <f t="shared" ca="1" si="1"/>
        <v>80</v>
      </c>
    </row>
    <row r="10" spans="1:3" x14ac:dyDescent="0.45">
      <c r="B10">
        <f t="shared" ca="1" si="0"/>
        <v>51</v>
      </c>
      <c r="C10">
        <f t="shared" ca="1" si="1"/>
        <v>132</v>
      </c>
    </row>
    <row r="11" spans="1:3" x14ac:dyDescent="0.45">
      <c r="B11">
        <f t="shared" ca="1" si="0"/>
        <v>6</v>
      </c>
      <c r="C11">
        <f t="shared" ca="1" si="1"/>
        <v>42</v>
      </c>
    </row>
    <row r="12" spans="1:3" x14ac:dyDescent="0.45">
      <c r="B12">
        <f t="shared" ca="1" si="0"/>
        <v>6</v>
      </c>
      <c r="C12">
        <f t="shared" ca="1" si="1"/>
        <v>42</v>
      </c>
    </row>
    <row r="13" spans="1:3" x14ac:dyDescent="0.45">
      <c r="B13">
        <f t="shared" ca="1" si="0"/>
        <v>65</v>
      </c>
      <c r="C13">
        <f t="shared" ca="1" si="1"/>
        <v>160</v>
      </c>
    </row>
    <row r="14" spans="1:3" x14ac:dyDescent="0.45">
      <c r="B14">
        <f t="shared" ca="1" si="0"/>
        <v>20</v>
      </c>
      <c r="C14">
        <f t="shared" ca="1" si="1"/>
        <v>70</v>
      </c>
    </row>
    <row r="15" spans="1:3" x14ac:dyDescent="0.45">
      <c r="B15">
        <f t="shared" ca="1" si="0"/>
        <v>8</v>
      </c>
      <c r="C15">
        <f t="shared" ca="1" si="1"/>
        <v>46</v>
      </c>
    </row>
    <row r="16" spans="1:3" x14ac:dyDescent="0.45">
      <c r="B16">
        <f t="shared" ca="1" si="0"/>
        <v>11</v>
      </c>
      <c r="C16">
        <f t="shared" ca="1" si="1"/>
        <v>52</v>
      </c>
    </row>
    <row r="17" spans="2:3" x14ac:dyDescent="0.45">
      <c r="B17">
        <f t="shared" ca="1" si="0"/>
        <v>24</v>
      </c>
      <c r="C17">
        <f t="shared" ca="1" si="1"/>
        <v>78</v>
      </c>
    </row>
    <row r="18" spans="2:3" x14ac:dyDescent="0.45">
      <c r="B18">
        <f t="shared" ca="1" si="0"/>
        <v>69</v>
      </c>
      <c r="C18">
        <f t="shared" ca="1" si="1"/>
        <v>168</v>
      </c>
    </row>
    <row r="19" spans="2:3" x14ac:dyDescent="0.45">
      <c r="B19">
        <f t="shared" ca="1" si="0"/>
        <v>31</v>
      </c>
      <c r="C19">
        <f t="shared" ca="1" si="1"/>
        <v>92</v>
      </c>
    </row>
    <row r="20" spans="2:3" x14ac:dyDescent="0.45">
      <c r="B20">
        <f t="shared" ca="1" si="0"/>
        <v>9</v>
      </c>
      <c r="C20">
        <f t="shared" ca="1" si="1"/>
        <v>48</v>
      </c>
    </row>
    <row r="21" spans="2:3" x14ac:dyDescent="0.45">
      <c r="B21">
        <f t="shared" ca="1" si="0"/>
        <v>63</v>
      </c>
      <c r="C21">
        <f t="shared" ca="1" si="1"/>
        <v>156</v>
      </c>
    </row>
    <row r="22" spans="2:3" x14ac:dyDescent="0.45">
      <c r="B22">
        <f t="shared" ca="1" si="0"/>
        <v>29</v>
      </c>
      <c r="C22">
        <f t="shared" ca="1" si="1"/>
        <v>88</v>
      </c>
    </row>
    <row r="23" spans="2:3" x14ac:dyDescent="0.45">
      <c r="B23">
        <f t="shared" ca="1" si="0"/>
        <v>40</v>
      </c>
      <c r="C23">
        <f t="shared" ca="1" si="1"/>
        <v>110</v>
      </c>
    </row>
    <row r="24" spans="2:3" x14ac:dyDescent="0.45">
      <c r="B24">
        <f t="shared" ca="1" si="0"/>
        <v>27</v>
      </c>
      <c r="C24">
        <f t="shared" ca="1" si="1"/>
        <v>84</v>
      </c>
    </row>
    <row r="25" spans="2:3" x14ac:dyDescent="0.45">
      <c r="B25">
        <f t="shared" ca="1" si="0"/>
        <v>68</v>
      </c>
      <c r="C25">
        <f t="shared" ca="1" si="1"/>
        <v>166</v>
      </c>
    </row>
    <row r="26" spans="2:3" x14ac:dyDescent="0.45">
      <c r="B26">
        <f t="shared" ca="1" si="0"/>
        <v>45</v>
      </c>
      <c r="C26">
        <f t="shared" ca="1" si="1"/>
        <v>120</v>
      </c>
    </row>
    <row r="27" spans="2:3" x14ac:dyDescent="0.45">
      <c r="B27">
        <f t="shared" ca="1" si="0"/>
        <v>96</v>
      </c>
      <c r="C27">
        <f t="shared" ca="1" si="1"/>
        <v>222</v>
      </c>
    </row>
    <row r="28" spans="2:3" x14ac:dyDescent="0.45">
      <c r="B28">
        <f t="shared" ca="1" si="0"/>
        <v>82</v>
      </c>
      <c r="C28">
        <f t="shared" ca="1" si="1"/>
        <v>194</v>
      </c>
    </row>
    <row r="29" spans="2:3" x14ac:dyDescent="0.45">
      <c r="B29">
        <f t="shared" ca="1" si="0"/>
        <v>94</v>
      </c>
      <c r="C29">
        <f t="shared" ca="1" si="1"/>
        <v>218</v>
      </c>
    </row>
    <row r="30" spans="2:3" x14ac:dyDescent="0.45">
      <c r="B30">
        <f t="shared" ca="1" si="0"/>
        <v>69</v>
      </c>
      <c r="C30">
        <f t="shared" ca="1" si="1"/>
        <v>168</v>
      </c>
    </row>
    <row r="31" spans="2:3" x14ac:dyDescent="0.45">
      <c r="B31">
        <f t="shared" ca="1" si="0"/>
        <v>14</v>
      </c>
      <c r="C31">
        <f t="shared" ca="1" si="1"/>
        <v>58</v>
      </c>
    </row>
    <row r="32" spans="2:3" x14ac:dyDescent="0.45">
      <c r="B32">
        <f t="shared" ca="1" si="0"/>
        <v>86</v>
      </c>
      <c r="C32">
        <f t="shared" ca="1" si="1"/>
        <v>202</v>
      </c>
    </row>
    <row r="33" spans="2:3" x14ac:dyDescent="0.45">
      <c r="B33">
        <f t="shared" ca="1" si="0"/>
        <v>45</v>
      </c>
      <c r="C33">
        <f t="shared" ca="1" si="1"/>
        <v>120</v>
      </c>
    </row>
    <row r="34" spans="2:3" x14ac:dyDescent="0.45">
      <c r="B34">
        <f t="shared" ca="1" si="0"/>
        <v>26</v>
      </c>
      <c r="C34">
        <f t="shared" ca="1" si="1"/>
        <v>82</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asic"/>
  <dimension ref="A1:N37"/>
  <sheetViews>
    <sheetView zoomScale="130" zoomScaleNormal="130" workbookViewId="0">
      <pane ySplit="3" topLeftCell="A4" activePane="bottomLeft" state="frozen"/>
      <selection pane="bottomLeft" activeCell="M32" sqref="M32"/>
    </sheetView>
  </sheetViews>
  <sheetFormatPr defaultRowHeight="14.25" x14ac:dyDescent="0.45"/>
  <cols>
    <col min="1" max="1" width="7" customWidth="1"/>
    <col min="2" max="2" width="7.86328125" bestFit="1" customWidth="1"/>
    <col min="3" max="3" width="8.86328125" customWidth="1"/>
    <col min="4" max="4" width="7" customWidth="1"/>
    <col min="5" max="5" width="8.1328125" customWidth="1"/>
    <col min="6" max="6" width="6.86328125" bestFit="1" customWidth="1"/>
    <col min="7" max="7" width="8.73046875" bestFit="1" customWidth="1"/>
    <col min="8" max="8" width="11.1328125" bestFit="1" customWidth="1"/>
    <col min="9" max="9" width="10.86328125" customWidth="1"/>
    <col min="10" max="10" width="9.1328125" bestFit="1" customWidth="1"/>
    <col min="11" max="11" width="6.86328125" bestFit="1" customWidth="1"/>
    <col min="12" max="12" width="9.1328125" bestFit="1" customWidth="1"/>
    <col min="13" max="13" width="11.59765625" customWidth="1"/>
    <col min="14" max="14" width="12.86328125" customWidth="1"/>
  </cols>
  <sheetData>
    <row r="1" spans="1:14" ht="17.45" customHeight="1" x14ac:dyDescent="0.45">
      <c r="B1" t="s">
        <v>19</v>
      </c>
      <c r="C1">
        <v>1</v>
      </c>
      <c r="E1" t="s">
        <v>14</v>
      </c>
      <c r="F1">
        <v>1E-4</v>
      </c>
      <c r="L1" t="s">
        <v>4</v>
      </c>
    </row>
    <row r="2" spans="1:14" ht="17.45" customHeight="1" x14ac:dyDescent="0.45">
      <c r="B2" t="s">
        <v>0</v>
      </c>
      <c r="C2">
        <v>1</v>
      </c>
      <c r="H2" t="s">
        <v>3</v>
      </c>
      <c r="K2" t="s">
        <v>5</v>
      </c>
    </row>
    <row r="3" spans="1:14" s="2" customFormat="1" x14ac:dyDescent="0.45">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45">
      <c r="A4">
        <v>14</v>
      </c>
      <c r="B4">
        <v>58</v>
      </c>
      <c r="C4">
        <f>C1</f>
        <v>1</v>
      </c>
      <c r="D4">
        <f>C2</f>
        <v>1</v>
      </c>
      <c r="E4">
        <f>C4+D4*A4</f>
        <v>15</v>
      </c>
      <c r="F4" s="1">
        <f>(B4-E4)^2</f>
        <v>1849</v>
      </c>
      <c r="G4" s="3">
        <f>(((C4+0.01)+A4*D4)-B4)^2</f>
        <v>1848.1401000000001</v>
      </c>
      <c r="H4" s="3">
        <f>(G4-F4)/0.01</f>
        <v>-85.989999999992506</v>
      </c>
      <c r="I4" s="3">
        <f>(((D4+0.01)*A4+C4)-B4)^2</f>
        <v>1836.9795999999999</v>
      </c>
      <c r="J4" s="3">
        <f>(I4-F4)/0.01</f>
        <v>-1202.0400000000109</v>
      </c>
      <c r="K4" s="3">
        <f>2*(E4-B4)</f>
        <v>-86</v>
      </c>
      <c r="L4" s="3">
        <f>K4*A4</f>
        <v>-1204</v>
      </c>
      <c r="M4" s="3">
        <f>D4-L4*$F$1</f>
        <v>1.1204000000000001</v>
      </c>
      <c r="N4" s="3">
        <f>C4-K4*$F$1</f>
        <v>1.0085999999999999</v>
      </c>
    </row>
    <row r="5" spans="1:14" x14ac:dyDescent="0.45">
      <c r="A5">
        <v>86</v>
      </c>
      <c r="B5">
        <v>202</v>
      </c>
      <c r="C5">
        <f>N4</f>
        <v>1.0085999999999999</v>
      </c>
      <c r="D5">
        <f>M4</f>
        <v>1.1204000000000001</v>
      </c>
      <c r="E5">
        <f>C5+D5*A5</f>
        <v>97.363</v>
      </c>
      <c r="F5" s="1">
        <f>(B5-E5)^2</f>
        <v>10948.901769</v>
      </c>
      <c r="G5" s="3">
        <f>(((C5+0.01)+A5*D5)-B5)^2</f>
        <v>10946.809128999999</v>
      </c>
      <c r="H5" s="3">
        <f>(G5-F5)/0.01</f>
        <v>-209.26400000007561</v>
      </c>
      <c r="I5" s="3">
        <f>(((D5+0.01)*A5+C5)-B5)^2</f>
        <v>10769.665728999997</v>
      </c>
      <c r="J5" s="3">
        <f>(I5-F5)/0.01</f>
        <v>-17923.604000000341</v>
      </c>
      <c r="K5" s="3">
        <f t="shared" ref="K5:K32" si="0">2*(E5-B5)</f>
        <v>-209.274</v>
      </c>
      <c r="L5" s="3">
        <f>K5*A5</f>
        <v>-17997.563999999998</v>
      </c>
      <c r="M5" s="3">
        <f t="shared" ref="M5:M32" si="1">D5-L5*$F$1</f>
        <v>2.9201563999999998</v>
      </c>
      <c r="N5" s="3">
        <f t="shared" ref="N5:N32" si="2">C5-K5*$F$1</f>
        <v>1.0295273999999999</v>
      </c>
    </row>
    <row r="6" spans="1:14" x14ac:dyDescent="0.45">
      <c r="A6">
        <v>28</v>
      </c>
      <c r="B6">
        <v>86</v>
      </c>
      <c r="C6">
        <f>N5</f>
        <v>1.0295273999999999</v>
      </c>
      <c r="D6">
        <f>M5</f>
        <v>2.9201563999999998</v>
      </c>
      <c r="E6">
        <f>C6+D6*A6</f>
        <v>82.7939066</v>
      </c>
      <c r="F6" s="1">
        <f t="shared" ref="F6:F32" si="3">(B6-E6)^2</f>
        <v>10.279034889523562</v>
      </c>
      <c r="G6" s="3">
        <f t="shared" ref="G6:G32" si="4">(((C6+0.01)+A6*D6)-B6)^2</f>
        <v>10.215013021523621</v>
      </c>
      <c r="H6" s="3">
        <f t="shared" ref="H6:H32" si="5">(G6-F6)/0.01</f>
        <v>-6.4021867999940696</v>
      </c>
      <c r="I6" s="3">
        <f t="shared" ref="I6:I32" si="6">(((D6+0.01)*A6+C6)-B6)^2</f>
        <v>8.5620225855236392</v>
      </c>
      <c r="J6" s="3">
        <f t="shared" ref="J6:J32" si="7">(I6-F6)/0.01</f>
        <v>-171.70123039999226</v>
      </c>
      <c r="K6" s="3">
        <f t="shared" si="0"/>
        <v>-6.4121868000000006</v>
      </c>
      <c r="L6" s="3">
        <f t="shared" ref="L6:L32" si="8">K6*A6</f>
        <v>-179.54123040000002</v>
      </c>
      <c r="M6" s="3">
        <f t="shared" si="1"/>
        <v>2.9381105230399998</v>
      </c>
      <c r="N6" s="3">
        <f t="shared" si="2"/>
        <v>1.0301686186799999</v>
      </c>
    </row>
    <row r="7" spans="1:14" x14ac:dyDescent="0.45">
      <c r="A7">
        <v>51</v>
      </c>
      <c r="B7">
        <v>132</v>
      </c>
      <c r="C7">
        <f t="shared" ref="C7:C32" si="9">N6</f>
        <v>1.0301686186799999</v>
      </c>
      <c r="D7">
        <f t="shared" ref="D7:D32" si="10">M6</f>
        <v>2.9381105230399998</v>
      </c>
      <c r="E7">
        <f t="shared" ref="E7:E32" si="11">C7+D7*A7</f>
        <v>150.87380529371998</v>
      </c>
      <c r="F7" s="1">
        <f t="shared" si="3"/>
        <v>356.22052626525243</v>
      </c>
      <c r="G7" s="3">
        <f t="shared" si="4"/>
        <v>356.59810237112754</v>
      </c>
      <c r="H7" s="3">
        <f t="shared" si="5"/>
        <v>37.757610587510726</v>
      </c>
      <c r="I7" s="3">
        <f t="shared" si="6"/>
        <v>375.73190766484646</v>
      </c>
      <c r="J7" s="3">
        <f t="shared" si="7"/>
        <v>1951.1381399594029</v>
      </c>
      <c r="K7" s="3">
        <f t="shared" si="0"/>
        <v>37.747610587439965</v>
      </c>
      <c r="L7" s="3">
        <f t="shared" si="8"/>
        <v>1925.1281399594382</v>
      </c>
      <c r="M7" s="3">
        <f t="shared" si="1"/>
        <v>2.745597709044056</v>
      </c>
      <c r="N7" s="3">
        <f t="shared" si="2"/>
        <v>1.0263938576212559</v>
      </c>
    </row>
    <row r="8" spans="1:14" x14ac:dyDescent="0.45">
      <c r="A8">
        <v>28</v>
      </c>
      <c r="B8">
        <v>86</v>
      </c>
      <c r="C8">
        <f t="shared" si="9"/>
        <v>1.0263938576212559</v>
      </c>
      <c r="D8">
        <f t="shared" si="10"/>
        <v>2.745597709044056</v>
      </c>
      <c r="E8">
        <f t="shared" si="11"/>
        <v>77.903129710854827</v>
      </c>
      <c r="F8" s="1">
        <f t="shared" si="3"/>
        <v>65.559308479241835</v>
      </c>
      <c r="G8" s="3">
        <f t="shared" si="4"/>
        <v>65.397471073459073</v>
      </c>
      <c r="H8" s="3">
        <f t="shared" si="5"/>
        <v>-16.183740578276229</v>
      </c>
      <c r="I8" s="3">
        <f t="shared" si="6"/>
        <v>61.103461117320741</v>
      </c>
      <c r="J8" s="3">
        <f t="shared" si="7"/>
        <v>-445.5847361921094</v>
      </c>
      <c r="K8" s="3">
        <f t="shared" si="0"/>
        <v>-16.193740578290345</v>
      </c>
      <c r="L8" s="3">
        <f t="shared" si="8"/>
        <v>-453.42473619212967</v>
      </c>
      <c r="M8" s="3">
        <f t="shared" si="1"/>
        <v>2.7909401826632689</v>
      </c>
      <c r="N8" s="3">
        <f t="shared" si="2"/>
        <v>1.0280132316790849</v>
      </c>
    </row>
    <row r="9" spans="1:14" x14ac:dyDescent="0.45">
      <c r="A9">
        <v>29</v>
      </c>
      <c r="B9">
        <v>88</v>
      </c>
      <c r="C9">
        <f t="shared" si="9"/>
        <v>1.0280132316790849</v>
      </c>
      <c r="D9">
        <f t="shared" si="10"/>
        <v>2.7909401826632689</v>
      </c>
      <c r="E9">
        <f t="shared" si="11"/>
        <v>81.965278528913885</v>
      </c>
      <c r="F9" s="1">
        <f t="shared" si="3"/>
        <v>36.417863233587767</v>
      </c>
      <c r="G9" s="3">
        <f t="shared" si="4"/>
        <v>36.297268804165981</v>
      </c>
      <c r="H9" s="3">
        <f t="shared" si="5"/>
        <v>-12.059442942178578</v>
      </c>
      <c r="I9" s="3">
        <f t="shared" si="6"/>
        <v>33.001824780357914</v>
      </c>
      <c r="J9" s="3">
        <f t="shared" si="7"/>
        <v>-341.60384532298519</v>
      </c>
      <c r="K9" s="3">
        <f t="shared" si="0"/>
        <v>-12.06944294217223</v>
      </c>
      <c r="L9" s="3">
        <f t="shared" si="8"/>
        <v>-350.01384532299471</v>
      </c>
      <c r="M9" s="3">
        <f t="shared" si="1"/>
        <v>2.8259415671955685</v>
      </c>
      <c r="N9" s="3">
        <f t="shared" si="2"/>
        <v>1.0292201759733022</v>
      </c>
    </row>
    <row r="10" spans="1:14" x14ac:dyDescent="0.45">
      <c r="A10">
        <v>72</v>
      </c>
      <c r="B10">
        <v>174</v>
      </c>
      <c r="C10">
        <f t="shared" si="9"/>
        <v>1.0292201759733022</v>
      </c>
      <c r="D10">
        <f t="shared" si="10"/>
        <v>2.8259415671955685</v>
      </c>
      <c r="E10">
        <f t="shared" si="11"/>
        <v>204.49701301405423</v>
      </c>
      <c r="F10" s="1">
        <f t="shared" si="3"/>
        <v>930.06780277939322</v>
      </c>
      <c r="G10" s="3">
        <f t="shared" si="4"/>
        <v>930.67784303967369</v>
      </c>
      <c r="H10" s="3">
        <f t="shared" si="5"/>
        <v>61.004026028047065</v>
      </c>
      <c r="I10" s="3">
        <f t="shared" si="6"/>
        <v>974.50190151963125</v>
      </c>
      <c r="J10" s="3">
        <f t="shared" si="7"/>
        <v>4443.4098740238023</v>
      </c>
      <c r="K10" s="3">
        <f t="shared" si="0"/>
        <v>60.994026028108465</v>
      </c>
      <c r="L10" s="3">
        <f t="shared" si="8"/>
        <v>4391.5698740238095</v>
      </c>
      <c r="M10" s="3">
        <f t="shared" si="1"/>
        <v>2.3867845797931877</v>
      </c>
      <c r="N10" s="3">
        <f t="shared" si="2"/>
        <v>1.0231207733704912</v>
      </c>
    </row>
    <row r="11" spans="1:14" x14ac:dyDescent="0.45">
      <c r="A11">
        <v>62</v>
      </c>
      <c r="B11">
        <v>154</v>
      </c>
      <c r="C11">
        <f t="shared" si="9"/>
        <v>1.0231207733704912</v>
      </c>
      <c r="D11">
        <f t="shared" si="10"/>
        <v>2.3867845797931877</v>
      </c>
      <c r="E11">
        <f t="shared" si="11"/>
        <v>149.00376472054813</v>
      </c>
      <c r="F11" s="1">
        <f t="shared" si="3"/>
        <v>24.962366967639472</v>
      </c>
      <c r="G11" s="3">
        <f t="shared" si="4"/>
        <v>24.862542262050525</v>
      </c>
      <c r="H11" s="3">
        <f t="shared" si="5"/>
        <v>-9.9824705588947182</v>
      </c>
      <c r="I11" s="3">
        <f t="shared" si="6"/>
        <v>19.151435221119364</v>
      </c>
      <c r="J11" s="3">
        <f t="shared" si="7"/>
        <v>-581.09317465201082</v>
      </c>
      <c r="K11" s="3">
        <f t="shared" si="0"/>
        <v>-9.992470558903733</v>
      </c>
      <c r="L11" s="3">
        <f t="shared" si="8"/>
        <v>-619.53317465203145</v>
      </c>
      <c r="M11" s="3">
        <f t="shared" si="1"/>
        <v>2.4487378972583906</v>
      </c>
      <c r="N11" s="3">
        <f t="shared" si="2"/>
        <v>1.0241200204263816</v>
      </c>
    </row>
    <row r="12" spans="1:14" x14ac:dyDescent="0.45">
      <c r="A12">
        <v>84</v>
      </c>
      <c r="B12">
        <v>198</v>
      </c>
      <c r="C12">
        <f t="shared" si="9"/>
        <v>1.0241200204263816</v>
      </c>
      <c r="D12">
        <f t="shared" si="10"/>
        <v>2.4487378972583906</v>
      </c>
      <c r="E12">
        <f t="shared" si="11"/>
        <v>206.7181033901312</v>
      </c>
      <c r="F12" s="1">
        <f t="shared" si="3"/>
        <v>76.005326721017212</v>
      </c>
      <c r="G12" s="3">
        <f t="shared" si="4"/>
        <v>76.179788788819678</v>
      </c>
      <c r="H12" s="3">
        <f t="shared" si="5"/>
        <v>17.446206780246598</v>
      </c>
      <c r="I12" s="3">
        <f t="shared" si="6"/>
        <v>91.357340416437154</v>
      </c>
      <c r="J12" s="3">
        <f t="shared" si="7"/>
        <v>1535.2013695419942</v>
      </c>
      <c r="K12" s="3">
        <f t="shared" si="0"/>
        <v>17.43620678026241</v>
      </c>
      <c r="L12" s="3">
        <f t="shared" si="8"/>
        <v>1464.6413695420424</v>
      </c>
      <c r="M12" s="3">
        <f t="shared" si="1"/>
        <v>2.3022737603041863</v>
      </c>
      <c r="N12" s="3">
        <f t="shared" si="2"/>
        <v>1.0223763997483555</v>
      </c>
    </row>
    <row r="13" spans="1:14" x14ac:dyDescent="0.45">
      <c r="A13">
        <v>15</v>
      </c>
      <c r="B13">
        <v>60</v>
      </c>
      <c r="C13">
        <f t="shared" si="9"/>
        <v>1.0223763997483555</v>
      </c>
      <c r="D13">
        <f t="shared" si="10"/>
        <v>2.3022737603041863</v>
      </c>
      <c r="E13">
        <f t="shared" si="11"/>
        <v>35.556482804311145</v>
      </c>
      <c r="F13" s="1">
        <f t="shared" si="3"/>
        <v>597.48553289593679</v>
      </c>
      <c r="G13" s="3">
        <f t="shared" si="4"/>
        <v>596.99676255202269</v>
      </c>
      <c r="H13" s="3">
        <f t="shared" si="5"/>
        <v>-48.877034391409779</v>
      </c>
      <c r="I13" s="3">
        <f t="shared" si="6"/>
        <v>590.17497773723017</v>
      </c>
      <c r="J13" s="3">
        <f t="shared" si="7"/>
        <v>-731.05551587066202</v>
      </c>
      <c r="K13" s="3">
        <f t="shared" si="0"/>
        <v>-48.887034391377711</v>
      </c>
      <c r="L13" s="3">
        <f t="shared" si="8"/>
        <v>-733.30551587066566</v>
      </c>
      <c r="M13" s="3">
        <f t="shared" si="1"/>
        <v>2.3756043118912529</v>
      </c>
      <c r="N13" s="3">
        <f t="shared" si="2"/>
        <v>1.0272651031874933</v>
      </c>
    </row>
    <row r="14" spans="1:14" x14ac:dyDescent="0.45">
      <c r="A14">
        <v>42</v>
      </c>
      <c r="B14">
        <v>114</v>
      </c>
      <c r="C14">
        <f t="shared" si="9"/>
        <v>1.0272651031874933</v>
      </c>
      <c r="D14">
        <f t="shared" si="10"/>
        <v>2.3756043118912529</v>
      </c>
      <c r="E14">
        <f t="shared" si="11"/>
        <v>100.80264620262011</v>
      </c>
      <c r="F14" s="1">
        <f t="shared" si="3"/>
        <v>174.17014725321741</v>
      </c>
      <c r="G14" s="3">
        <f t="shared" si="4"/>
        <v>173.90630017726966</v>
      </c>
      <c r="H14" s="3">
        <f t="shared" si="5"/>
        <v>-26.384707594775136</v>
      </c>
      <c r="I14" s="3">
        <f t="shared" si="6"/>
        <v>163.26077006341862</v>
      </c>
      <c r="J14" s="3">
        <f t="shared" si="7"/>
        <v>-1090.9377189798788</v>
      </c>
      <c r="K14" s="3">
        <f t="shared" si="0"/>
        <v>-26.39470759475978</v>
      </c>
      <c r="L14" s="3">
        <f t="shared" si="8"/>
        <v>-1108.5777189799107</v>
      </c>
      <c r="M14" s="3">
        <f t="shared" si="1"/>
        <v>2.4864620837892439</v>
      </c>
      <c r="N14" s="3">
        <f t="shared" si="2"/>
        <v>1.0299045739469692</v>
      </c>
    </row>
    <row r="15" spans="1:14" x14ac:dyDescent="0.45">
      <c r="A15">
        <v>62</v>
      </c>
      <c r="B15">
        <v>154</v>
      </c>
      <c r="C15">
        <f>N14</f>
        <v>1.0299045739469692</v>
      </c>
      <c r="D15">
        <f>M14</f>
        <v>2.4864620837892439</v>
      </c>
      <c r="E15">
        <f t="shared" si="11"/>
        <v>155.19055376888008</v>
      </c>
      <c r="F15" s="1">
        <f t="shared" si="3"/>
        <v>1.4174182765945609</v>
      </c>
      <c r="G15" s="3">
        <f t="shared" si="4"/>
        <v>1.4413293519721406</v>
      </c>
      <c r="H15" s="3">
        <f t="shared" si="5"/>
        <v>2.3911075377579749</v>
      </c>
      <c r="I15" s="3">
        <f t="shared" si="6"/>
        <v>3.2781049500058757</v>
      </c>
      <c r="J15" s="3">
        <f t="shared" si="7"/>
        <v>186.06866734113149</v>
      </c>
      <c r="K15" s="3">
        <f t="shared" si="0"/>
        <v>2.3811075377601583</v>
      </c>
      <c r="L15" s="3">
        <f t="shared" si="8"/>
        <v>147.62866734112981</v>
      </c>
      <c r="M15" s="3">
        <f t="shared" si="1"/>
        <v>2.4716992170551308</v>
      </c>
      <c r="N15" s="3">
        <f t="shared" si="2"/>
        <v>1.0296664631931931</v>
      </c>
    </row>
    <row r="16" spans="1:14" x14ac:dyDescent="0.45">
      <c r="A16">
        <v>47</v>
      </c>
      <c r="B16">
        <v>124</v>
      </c>
      <c r="C16">
        <f t="shared" si="9"/>
        <v>1.0296664631931931</v>
      </c>
      <c r="D16">
        <f t="shared" si="10"/>
        <v>2.4716992170551308</v>
      </c>
      <c r="E16">
        <f t="shared" si="11"/>
        <v>117.19952966478435</v>
      </c>
      <c r="F16" s="1">
        <f t="shared" si="3"/>
        <v>46.246396780148054</v>
      </c>
      <c r="G16" s="3">
        <f t="shared" si="4"/>
        <v>46.110487373443668</v>
      </c>
      <c r="H16" s="3">
        <f t="shared" si="5"/>
        <v>-13.590940670438556</v>
      </c>
      <c r="I16" s="3">
        <f t="shared" si="6"/>
        <v>40.074854665045535</v>
      </c>
      <c r="J16" s="3">
        <f t="shared" si="7"/>
        <v>-617.1542115102518</v>
      </c>
      <c r="K16" s="3">
        <f t="shared" si="0"/>
        <v>-13.600940670431299</v>
      </c>
      <c r="L16" s="3">
        <f t="shared" si="8"/>
        <v>-639.24421151027104</v>
      </c>
      <c r="M16" s="3">
        <f t="shared" si="1"/>
        <v>2.5356236382061579</v>
      </c>
      <c r="N16" s="3">
        <f t="shared" si="2"/>
        <v>1.0310265572602362</v>
      </c>
    </row>
    <row r="17" spans="1:14" x14ac:dyDescent="0.45">
      <c r="A17">
        <v>35</v>
      </c>
      <c r="B17">
        <v>100</v>
      </c>
      <c r="C17">
        <f t="shared" si="9"/>
        <v>1.0310265572602362</v>
      </c>
      <c r="D17">
        <f t="shared" si="10"/>
        <v>2.5356236382061579</v>
      </c>
      <c r="E17">
        <f t="shared" si="11"/>
        <v>89.777853894475754</v>
      </c>
      <c r="F17" s="1">
        <f t="shared" si="3"/>
        <v>104.4922710026845</v>
      </c>
      <c r="G17" s="3">
        <f t="shared" si="4"/>
        <v>104.28792808057392</v>
      </c>
      <c r="H17" s="3">
        <f t="shared" si="5"/>
        <v>-20.434292211058391</v>
      </c>
      <c r="I17" s="3">
        <f t="shared" si="6"/>
        <v>97.459268728817648</v>
      </c>
      <c r="J17" s="3">
        <f t="shared" si="7"/>
        <v>-703.30022738668561</v>
      </c>
      <c r="K17" s="3">
        <f t="shared" si="0"/>
        <v>-20.444292211048491</v>
      </c>
      <c r="L17" s="3">
        <f t="shared" si="8"/>
        <v>-715.5502273866972</v>
      </c>
      <c r="M17" s="3">
        <f t="shared" si="1"/>
        <v>2.6071786609448275</v>
      </c>
      <c r="N17" s="3">
        <f t="shared" si="2"/>
        <v>1.033070986481341</v>
      </c>
    </row>
    <row r="18" spans="1:14" x14ac:dyDescent="0.45">
      <c r="A18">
        <v>9</v>
      </c>
      <c r="B18">
        <v>48</v>
      </c>
      <c r="C18">
        <f t="shared" si="9"/>
        <v>1.033070986481341</v>
      </c>
      <c r="D18">
        <f t="shared" si="10"/>
        <v>2.6071786609448275</v>
      </c>
      <c r="E18">
        <f t="shared" si="11"/>
        <v>24.497678934984791</v>
      </c>
      <c r="F18" s="1">
        <f t="shared" si="3"/>
        <v>552.35909544305764</v>
      </c>
      <c r="G18" s="3">
        <f t="shared" si="4"/>
        <v>551.88914902175748</v>
      </c>
      <c r="H18" s="3">
        <f t="shared" si="5"/>
        <v>-46.994642130016473</v>
      </c>
      <c r="I18" s="3">
        <f t="shared" si="6"/>
        <v>548.13677765135503</v>
      </c>
      <c r="J18" s="3">
        <f t="shared" si="7"/>
        <v>-422.23177917026078</v>
      </c>
      <c r="K18" s="3">
        <f t="shared" si="0"/>
        <v>-47.004642130030419</v>
      </c>
      <c r="L18" s="3">
        <f t="shared" si="8"/>
        <v>-423.0417791702738</v>
      </c>
      <c r="M18" s="3">
        <f t="shared" si="1"/>
        <v>2.649482838861855</v>
      </c>
      <c r="N18" s="3">
        <f t="shared" si="2"/>
        <v>1.0377714506943441</v>
      </c>
    </row>
    <row r="19" spans="1:14" x14ac:dyDescent="0.45">
      <c r="A19">
        <v>38</v>
      </c>
      <c r="B19">
        <v>106</v>
      </c>
      <c r="C19">
        <f t="shared" si="9"/>
        <v>1.0377714506943441</v>
      </c>
      <c r="D19">
        <f t="shared" si="10"/>
        <v>2.649482838861855</v>
      </c>
      <c r="E19">
        <f t="shared" si="11"/>
        <v>101.71811932744484</v>
      </c>
      <c r="F19" s="1">
        <f t="shared" si="3"/>
        <v>18.334502094001436</v>
      </c>
      <c r="G19" s="3">
        <f t="shared" si="4"/>
        <v>18.248964480550413</v>
      </c>
      <c r="H19" s="3">
        <f t="shared" si="5"/>
        <v>-8.5537613451023731</v>
      </c>
      <c r="I19" s="3">
        <f t="shared" si="6"/>
        <v>15.224672782859551</v>
      </c>
      <c r="J19" s="3">
        <f t="shared" si="7"/>
        <v>-310.98293111418849</v>
      </c>
      <c r="K19" s="3">
        <f t="shared" si="0"/>
        <v>-8.5637613451103221</v>
      </c>
      <c r="L19" s="3">
        <f t="shared" si="8"/>
        <v>-325.42293111419224</v>
      </c>
      <c r="M19" s="3">
        <f t="shared" si="1"/>
        <v>2.6820251319732744</v>
      </c>
      <c r="N19" s="3">
        <f t="shared" si="2"/>
        <v>1.0386278268288551</v>
      </c>
    </row>
    <row r="20" spans="1:14" x14ac:dyDescent="0.45">
      <c r="A20">
        <v>44</v>
      </c>
      <c r="B20">
        <v>118</v>
      </c>
      <c r="C20">
        <f t="shared" si="9"/>
        <v>1.0386278268288551</v>
      </c>
      <c r="D20">
        <f t="shared" si="10"/>
        <v>2.6820251319732744</v>
      </c>
      <c r="E20">
        <f t="shared" si="11"/>
        <v>119.04773363365292</v>
      </c>
      <c r="F20" s="1">
        <f t="shared" si="3"/>
        <v>1.0977457670875612</v>
      </c>
      <c r="G20" s="3">
        <f t="shared" si="4"/>
        <v>1.1188004397606006</v>
      </c>
      <c r="H20" s="3">
        <f t="shared" si="5"/>
        <v>2.1054672673039398</v>
      </c>
      <c r="I20" s="3">
        <f t="shared" si="6"/>
        <v>2.2133513647021283</v>
      </c>
      <c r="J20" s="3">
        <f t="shared" si="7"/>
        <v>111.56055976145672</v>
      </c>
      <c r="K20" s="3">
        <f t="shared" si="0"/>
        <v>2.0954672673058496</v>
      </c>
      <c r="L20" s="3">
        <f t="shared" si="8"/>
        <v>92.200559761457384</v>
      </c>
      <c r="M20" s="3">
        <f t="shared" si="1"/>
        <v>2.6728050759971285</v>
      </c>
      <c r="N20" s="3">
        <f t="shared" si="2"/>
        <v>1.0384182801021244</v>
      </c>
    </row>
    <row r="21" spans="1:14" x14ac:dyDescent="0.45">
      <c r="A21">
        <v>99</v>
      </c>
      <c r="B21">
        <v>228</v>
      </c>
      <c r="C21">
        <f t="shared" si="9"/>
        <v>1.0384182801021244</v>
      </c>
      <c r="D21">
        <f t="shared" si="10"/>
        <v>2.6728050759971285</v>
      </c>
      <c r="E21">
        <f t="shared" si="11"/>
        <v>265.64612080381784</v>
      </c>
      <c r="F21" s="1">
        <f t="shared" si="3"/>
        <v>1417.2304115756463</v>
      </c>
      <c r="G21" s="3">
        <f t="shared" si="4"/>
        <v>1417.9834339917218</v>
      </c>
      <c r="H21" s="3">
        <f t="shared" si="5"/>
        <v>75.302241607550968</v>
      </c>
      <c r="I21" s="3">
        <f t="shared" si="6"/>
        <v>1492.7498307672063</v>
      </c>
      <c r="J21" s="3">
        <f t="shared" si="7"/>
        <v>7551.9419191560019</v>
      </c>
      <c r="K21" s="3">
        <f t="shared" si="0"/>
        <v>75.292241607635674</v>
      </c>
      <c r="L21" s="3">
        <f t="shared" si="8"/>
        <v>7453.9319191559316</v>
      </c>
      <c r="M21" s="3">
        <f t="shared" si="1"/>
        <v>1.9274118840815353</v>
      </c>
      <c r="N21" s="3">
        <f t="shared" si="2"/>
        <v>1.0308890559413608</v>
      </c>
    </row>
    <row r="22" spans="1:14" x14ac:dyDescent="0.45">
      <c r="A22">
        <v>13</v>
      </c>
      <c r="B22">
        <v>56</v>
      </c>
      <c r="C22">
        <f t="shared" si="9"/>
        <v>1.0308890559413608</v>
      </c>
      <c r="D22">
        <f t="shared" si="10"/>
        <v>1.9274118840815353</v>
      </c>
      <c r="E22">
        <f t="shared" si="11"/>
        <v>26.087243549001322</v>
      </c>
      <c r="F22" s="1">
        <f t="shared" si="3"/>
        <v>894.77299849676308</v>
      </c>
      <c r="G22" s="3">
        <f t="shared" si="4"/>
        <v>894.17484336774316</v>
      </c>
      <c r="H22" s="3">
        <f t="shared" si="5"/>
        <v>-59.815512901991497</v>
      </c>
      <c r="I22" s="3">
        <f t="shared" si="6"/>
        <v>887.01258181950345</v>
      </c>
      <c r="J22" s="3">
        <f t="shared" si="7"/>
        <v>-776.04166772596272</v>
      </c>
      <c r="K22" s="3">
        <f t="shared" si="0"/>
        <v>-59.825512901997357</v>
      </c>
      <c r="L22" s="3">
        <f t="shared" si="8"/>
        <v>-777.73166772596562</v>
      </c>
      <c r="M22" s="3">
        <f t="shared" si="1"/>
        <v>2.005185050854132</v>
      </c>
      <c r="N22" s="3">
        <f t="shared" si="2"/>
        <v>1.0368716072315605</v>
      </c>
    </row>
    <row r="23" spans="1:14" x14ac:dyDescent="0.45">
      <c r="A23">
        <v>21</v>
      </c>
      <c r="B23">
        <v>72</v>
      </c>
      <c r="C23">
        <f t="shared" si="9"/>
        <v>1.0368716072315605</v>
      </c>
      <c r="D23">
        <f t="shared" si="10"/>
        <v>2.005185050854132</v>
      </c>
      <c r="E23">
        <f t="shared" si="11"/>
        <v>43.145757675168333</v>
      </c>
      <c r="F23" s="1">
        <f t="shared" si="3"/>
        <v>832.56730014010714</v>
      </c>
      <c r="G23" s="3">
        <f t="shared" si="4"/>
        <v>831.99031529361059</v>
      </c>
      <c r="H23" s="3">
        <f t="shared" si="5"/>
        <v>-57.698484649654347</v>
      </c>
      <c r="I23" s="3">
        <f t="shared" si="6"/>
        <v>820.49261836367816</v>
      </c>
      <c r="J23" s="3">
        <f t="shared" si="7"/>
        <v>-1207.4681776428974</v>
      </c>
      <c r="K23" s="3">
        <f t="shared" si="0"/>
        <v>-57.708484649663333</v>
      </c>
      <c r="L23" s="3">
        <f t="shared" si="8"/>
        <v>-1211.87817764293</v>
      </c>
      <c r="M23" s="3">
        <f t="shared" si="1"/>
        <v>2.1263728686184251</v>
      </c>
      <c r="N23" s="3">
        <f t="shared" si="2"/>
        <v>1.0426424556965268</v>
      </c>
    </row>
    <row r="24" spans="1:14" x14ac:dyDescent="0.45">
      <c r="A24">
        <v>28</v>
      </c>
      <c r="B24">
        <v>86</v>
      </c>
      <c r="C24">
        <f t="shared" si="9"/>
        <v>1.0426424556965268</v>
      </c>
      <c r="D24">
        <f t="shared" si="10"/>
        <v>2.1263728686184251</v>
      </c>
      <c r="E24">
        <f t="shared" si="11"/>
        <v>60.581082777012433</v>
      </c>
      <c r="F24" s="1">
        <f t="shared" si="3"/>
        <v>646.12135278909398</v>
      </c>
      <c r="G24" s="3">
        <f t="shared" si="4"/>
        <v>645.61307444463432</v>
      </c>
      <c r="H24" s="3">
        <f t="shared" si="5"/>
        <v>-50.827834445965436</v>
      </c>
      <c r="I24" s="3">
        <f t="shared" si="6"/>
        <v>631.96515914422116</v>
      </c>
      <c r="J24" s="3">
        <f t="shared" si="7"/>
        <v>-1415.6193644872815</v>
      </c>
      <c r="K24" s="3">
        <f t="shared" si="0"/>
        <v>-50.837834445975133</v>
      </c>
      <c r="L24" s="3">
        <f t="shared" si="8"/>
        <v>-1423.4593644873037</v>
      </c>
      <c r="M24" s="3">
        <f t="shared" si="1"/>
        <v>2.2687188050671554</v>
      </c>
      <c r="N24" s="3">
        <f t="shared" si="2"/>
        <v>1.0477262391411244</v>
      </c>
    </row>
    <row r="25" spans="1:14" x14ac:dyDescent="0.45">
      <c r="A25">
        <v>20</v>
      </c>
      <c r="B25">
        <v>70</v>
      </c>
      <c r="C25">
        <f t="shared" si="9"/>
        <v>1.0477262391411244</v>
      </c>
      <c r="D25">
        <f t="shared" si="10"/>
        <v>2.2687188050671554</v>
      </c>
      <c r="E25">
        <f t="shared" si="11"/>
        <v>46.422102340484237</v>
      </c>
      <c r="F25" s="1">
        <f t="shared" si="3"/>
        <v>555.91725804259886</v>
      </c>
      <c r="G25" s="3">
        <f t="shared" si="4"/>
        <v>555.44580008940864</v>
      </c>
      <c r="H25" s="3">
        <f t="shared" si="5"/>
        <v>-47.145795319022454</v>
      </c>
      <c r="I25" s="3">
        <f t="shared" si="6"/>
        <v>546.52609897879279</v>
      </c>
      <c r="J25" s="3">
        <f t="shared" si="7"/>
        <v>-939.11590638060716</v>
      </c>
      <c r="K25" s="3">
        <f t="shared" si="0"/>
        <v>-47.155795319031526</v>
      </c>
      <c r="L25" s="3">
        <f t="shared" si="8"/>
        <v>-943.11590638063058</v>
      </c>
      <c r="M25" s="3">
        <f t="shared" si="1"/>
        <v>2.3630303957052186</v>
      </c>
      <c r="N25" s="3">
        <f t="shared" si="2"/>
        <v>1.0524418186730276</v>
      </c>
    </row>
    <row r="26" spans="1:14" x14ac:dyDescent="0.45">
      <c r="A26">
        <v>8</v>
      </c>
      <c r="B26">
        <v>46</v>
      </c>
      <c r="C26">
        <f t="shared" si="9"/>
        <v>1.0524418186730276</v>
      </c>
      <c r="D26">
        <f t="shared" si="10"/>
        <v>2.3630303957052186</v>
      </c>
      <c r="E26">
        <f t="shared" si="11"/>
        <v>19.956684984314776</v>
      </c>
      <c r="F26" s="1">
        <f t="shared" si="3"/>
        <v>678.25425700621543</v>
      </c>
      <c r="G26" s="3">
        <f t="shared" si="4"/>
        <v>677.73349070590189</v>
      </c>
      <c r="H26" s="3">
        <f t="shared" si="5"/>
        <v>-52.076630031353943</v>
      </c>
      <c r="I26" s="3">
        <f t="shared" si="6"/>
        <v>674.09372660370593</v>
      </c>
      <c r="J26" s="3">
        <f t="shared" si="7"/>
        <v>-416.05304025094938</v>
      </c>
      <c r="K26" s="3">
        <f t="shared" si="0"/>
        <v>-52.086630031370447</v>
      </c>
      <c r="L26" s="3">
        <f t="shared" si="8"/>
        <v>-416.69304025096358</v>
      </c>
      <c r="M26" s="3">
        <f t="shared" si="1"/>
        <v>2.4046996997303149</v>
      </c>
      <c r="N26" s="3">
        <f t="shared" si="2"/>
        <v>1.0576504816761645</v>
      </c>
    </row>
    <row r="27" spans="1:14" x14ac:dyDescent="0.45">
      <c r="A27">
        <v>64</v>
      </c>
      <c r="B27">
        <v>158</v>
      </c>
      <c r="C27">
        <f t="shared" si="9"/>
        <v>1.0576504816761645</v>
      </c>
      <c r="D27">
        <f t="shared" si="10"/>
        <v>2.4046996997303149</v>
      </c>
      <c r="E27">
        <f t="shared" si="11"/>
        <v>154.95843126441633</v>
      </c>
      <c r="F27" s="1">
        <f t="shared" si="3"/>
        <v>9.251140373280025</v>
      </c>
      <c r="G27" s="3">
        <f t="shared" si="4"/>
        <v>9.1904089985684063</v>
      </c>
      <c r="H27" s="3">
        <f t="shared" si="5"/>
        <v>-6.0731374711618713</v>
      </c>
      <c r="I27" s="3">
        <f t="shared" si="6"/>
        <v>5.7675323917329973</v>
      </c>
      <c r="J27" s="3">
        <f t="shared" si="7"/>
        <v>-348.36079815470276</v>
      </c>
      <c r="K27" s="3">
        <f t="shared" si="0"/>
        <v>-6.0831374711673334</v>
      </c>
      <c r="L27" s="3">
        <f t="shared" si="8"/>
        <v>-389.32079815470934</v>
      </c>
      <c r="M27" s="3">
        <f t="shared" si="1"/>
        <v>2.443631779545786</v>
      </c>
      <c r="N27" s="3">
        <f t="shared" si="2"/>
        <v>1.0582587954232812</v>
      </c>
    </row>
    <row r="28" spans="1:14" x14ac:dyDescent="0.45">
      <c r="A28">
        <v>99</v>
      </c>
      <c r="B28">
        <v>228</v>
      </c>
      <c r="C28">
        <f t="shared" si="9"/>
        <v>1.0582587954232812</v>
      </c>
      <c r="D28">
        <f t="shared" si="10"/>
        <v>2.443631779545786</v>
      </c>
      <c r="E28">
        <f t="shared" si="11"/>
        <v>242.97780497045611</v>
      </c>
      <c r="F28" s="1">
        <f t="shared" si="3"/>
        <v>224.33464173301962</v>
      </c>
      <c r="G28" s="3">
        <f t="shared" si="4"/>
        <v>224.63429783242847</v>
      </c>
      <c r="H28" s="3">
        <f t="shared" si="5"/>
        <v>29.965609940884974</v>
      </c>
      <c r="I28" s="3">
        <f t="shared" si="6"/>
        <v>254.9707955745221</v>
      </c>
      <c r="J28" s="3">
        <f t="shared" si="7"/>
        <v>3063.6153841502478</v>
      </c>
      <c r="K28" s="3">
        <f t="shared" si="0"/>
        <v>29.955609940912211</v>
      </c>
      <c r="L28" s="3">
        <f t="shared" si="8"/>
        <v>2965.605384150309</v>
      </c>
      <c r="M28" s="3">
        <f t="shared" si="1"/>
        <v>2.1470712411307553</v>
      </c>
      <c r="N28" s="3">
        <f t="shared" si="2"/>
        <v>1.0552632344291899</v>
      </c>
    </row>
    <row r="29" spans="1:14" x14ac:dyDescent="0.45">
      <c r="A29">
        <v>70</v>
      </c>
      <c r="B29">
        <v>170</v>
      </c>
      <c r="C29">
        <f t="shared" si="9"/>
        <v>1.0552632344291899</v>
      </c>
      <c r="D29">
        <f t="shared" si="10"/>
        <v>2.1470712411307553</v>
      </c>
      <c r="E29">
        <f t="shared" si="11"/>
        <v>151.35025011358206</v>
      </c>
      <c r="F29" s="1">
        <f t="shared" si="3"/>
        <v>347.8131708259458</v>
      </c>
      <c r="G29" s="3">
        <f t="shared" si="4"/>
        <v>347.44027582821781</v>
      </c>
      <c r="H29" s="3">
        <f t="shared" si="5"/>
        <v>-37.289499772799672</v>
      </c>
      <c r="I29" s="3">
        <f t="shared" si="6"/>
        <v>322.19352098496114</v>
      </c>
      <c r="J29" s="3">
        <f t="shared" si="7"/>
        <v>-2561.9649840984662</v>
      </c>
      <c r="K29" s="3">
        <f t="shared" si="0"/>
        <v>-37.299499772835873</v>
      </c>
      <c r="L29" s="3">
        <f t="shared" si="8"/>
        <v>-2610.9649840985112</v>
      </c>
      <c r="M29" s="3">
        <f t="shared" si="1"/>
        <v>2.4081677395406063</v>
      </c>
      <c r="N29" s="3">
        <f t="shared" si="2"/>
        <v>1.0589931844064735</v>
      </c>
    </row>
    <row r="30" spans="1:14" x14ac:dyDescent="0.45">
      <c r="A30">
        <v>27</v>
      </c>
      <c r="B30">
        <v>84</v>
      </c>
      <c r="C30">
        <f t="shared" si="9"/>
        <v>1.0589931844064735</v>
      </c>
      <c r="D30">
        <f t="shared" si="10"/>
        <v>2.4081677395406063</v>
      </c>
      <c r="E30">
        <f t="shared" si="11"/>
        <v>66.079522152002838</v>
      </c>
      <c r="F30" s="1">
        <f t="shared" si="3"/>
        <v>321.14352630055703</v>
      </c>
      <c r="G30" s="3">
        <f t="shared" si="4"/>
        <v>320.78521674359689</v>
      </c>
      <c r="H30" s="3">
        <f t="shared" si="5"/>
        <v>-35.830955696013689</v>
      </c>
      <c r="I30" s="3">
        <f t="shared" si="6"/>
        <v>311.53936826263867</v>
      </c>
      <c r="J30" s="3">
        <f t="shared" si="7"/>
        <v>-960.41580379183529</v>
      </c>
      <c r="K30" s="3">
        <f t="shared" si="0"/>
        <v>-35.840955695994325</v>
      </c>
      <c r="L30" s="3">
        <f t="shared" si="8"/>
        <v>-967.70580379184673</v>
      </c>
      <c r="M30" s="3">
        <f t="shared" si="1"/>
        <v>2.5049383199197908</v>
      </c>
      <c r="N30" s="3">
        <f t="shared" si="2"/>
        <v>1.0625772799760729</v>
      </c>
    </row>
    <row r="31" spans="1:14" x14ac:dyDescent="0.45">
      <c r="A31">
        <v>17</v>
      </c>
      <c r="B31">
        <v>64</v>
      </c>
      <c r="C31">
        <f t="shared" si="9"/>
        <v>1.0625772799760729</v>
      </c>
      <c r="D31">
        <f t="shared" si="10"/>
        <v>2.5049383199197908</v>
      </c>
      <c r="E31">
        <f t="shared" si="11"/>
        <v>43.646528718612515</v>
      </c>
      <c r="F31" s="1">
        <f t="shared" si="3"/>
        <v>414.26379320226511</v>
      </c>
      <c r="G31" s="3">
        <f t="shared" si="4"/>
        <v>413.85682377663744</v>
      </c>
      <c r="H31" s="3">
        <f t="shared" si="5"/>
        <v>-40.69694256276648</v>
      </c>
      <c r="I31" s="3">
        <f t="shared" si="6"/>
        <v>407.37251296659326</v>
      </c>
      <c r="J31" s="3">
        <f t="shared" si="7"/>
        <v>-689.1280235671843</v>
      </c>
      <c r="K31" s="3">
        <f t="shared" si="0"/>
        <v>-40.706942562774969</v>
      </c>
      <c r="L31" s="3">
        <f t="shared" si="8"/>
        <v>-692.01802356717451</v>
      </c>
      <c r="M31" s="3">
        <f t="shared" si="1"/>
        <v>2.5741401222765083</v>
      </c>
      <c r="N31" s="3">
        <f t="shared" si="2"/>
        <v>1.0666479742323505</v>
      </c>
    </row>
    <row r="32" spans="1:14" x14ac:dyDescent="0.45">
      <c r="A32">
        <v>8</v>
      </c>
      <c r="B32">
        <v>46</v>
      </c>
      <c r="C32">
        <f t="shared" si="9"/>
        <v>1.0666479742323505</v>
      </c>
      <c r="D32">
        <f t="shared" si="10"/>
        <v>2.5741401222765083</v>
      </c>
      <c r="E32">
        <f t="shared" si="11"/>
        <v>21.659768952444416</v>
      </c>
      <c r="F32" s="1">
        <f t="shared" si="3"/>
        <v>592.44684744838878</v>
      </c>
      <c r="G32" s="3">
        <f t="shared" si="4"/>
        <v>591.96014282743761</v>
      </c>
      <c r="H32" s="3">
        <f t="shared" si="5"/>
        <v>-48.670462095117273</v>
      </c>
      <c r="I32" s="3">
        <f t="shared" si="6"/>
        <v>588.55881048077993</v>
      </c>
      <c r="J32" s="3">
        <f t="shared" si="7"/>
        <v>-388.80369676088549</v>
      </c>
      <c r="K32" s="3">
        <f t="shared" si="0"/>
        <v>-48.680462095111167</v>
      </c>
      <c r="L32" s="3">
        <f t="shared" si="8"/>
        <v>-389.44369676088934</v>
      </c>
      <c r="M32" s="3">
        <f t="shared" si="1"/>
        <v>2.6130844919525971</v>
      </c>
      <c r="N32" s="3">
        <f t="shared" si="2"/>
        <v>1.0715160204418617</v>
      </c>
    </row>
    <row r="33" spans="3:12" x14ac:dyDescent="0.45">
      <c r="E33" t="s">
        <v>2</v>
      </c>
      <c r="F33" s="1">
        <f>SQRT(SUM(F4:F32))</f>
        <v>150.75521153771854</v>
      </c>
      <c r="K33" s="3">
        <f>SQRT(SUMSQ(K4:K32))</f>
        <v>301.51042307543707</v>
      </c>
      <c r="L33" s="3">
        <f>SQRT(SUMSQ(L4:L32))</f>
        <v>20791.831056415613</v>
      </c>
    </row>
    <row r="36" spans="3:12" x14ac:dyDescent="0.45">
      <c r="C36" t="s">
        <v>20</v>
      </c>
    </row>
    <row r="37" spans="3:12" x14ac:dyDescent="0.45">
      <c r="C37" t="s">
        <v>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9525</xdr:rowOff>
                  </from>
                  <to>
                    <xdr:col>0</xdr:col>
                    <xdr:colOff>504825</xdr:colOff>
                    <xdr:row>1</xdr:row>
                    <xdr:rowOff>209550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19050</xdr:rowOff>
                  </from>
                  <to>
                    <xdr:col>0</xdr:col>
                    <xdr:colOff>504825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defaultRowHeight="14.25" x14ac:dyDescent="0.45"/>
  <cols>
    <col min="3" max="3" width="8.86328125" style="5" customWidth="1"/>
    <col min="4" max="4" width="10.86328125" style="5" bestFit="1" customWidth="1"/>
    <col min="5" max="5" width="9.1328125" style="5" bestFit="1" customWidth="1"/>
    <col min="6" max="6" width="10.86328125" style="7" bestFit="1" customWidth="1"/>
    <col min="7" max="7" width="10.1328125" style="7" bestFit="1" customWidth="1"/>
    <col min="8" max="8" width="8.265625" bestFit="1" customWidth="1"/>
    <col min="9" max="9" width="6.265625" bestFit="1" customWidth="1"/>
    <col min="10" max="11" width="6.59765625" customWidth="1"/>
  </cols>
  <sheetData>
    <row r="1" spans="1:13" x14ac:dyDescent="0.45">
      <c r="B1" t="s">
        <v>21</v>
      </c>
      <c r="C1" s="5">
        <v>1.2610777567972657</v>
      </c>
      <c r="D1" s="5" t="s">
        <v>14</v>
      </c>
      <c r="I1" t="s">
        <v>24</v>
      </c>
      <c r="J1">
        <v>0.9</v>
      </c>
      <c r="K1">
        <f>1-J1</f>
        <v>9.9999999999999978E-2</v>
      </c>
    </row>
    <row r="2" spans="1:13" x14ac:dyDescent="0.45">
      <c r="B2" t="s">
        <v>22</v>
      </c>
      <c r="C2" s="5">
        <v>2.3580347909544339</v>
      </c>
      <c r="D2">
        <v>1E-4</v>
      </c>
      <c r="F2" s="9"/>
      <c r="G2" s="9"/>
    </row>
    <row r="3" spans="1:13" s="2" customFormat="1" x14ac:dyDescent="0.45">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45">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45">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45">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45">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45">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45">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45">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45">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45">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45">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45">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45">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45">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45">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45">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45">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45">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45">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45">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45">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45">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45">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45">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45">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45">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45">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45">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45">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45">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45">
      <c r="A33" s="7"/>
      <c r="B33" s="7"/>
      <c r="H33" s="3"/>
      <c r="J33">
        <v>-19.279531290451075</v>
      </c>
      <c r="K33">
        <v>162.8396203477341</v>
      </c>
      <c r="M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grad"/>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34" sqref="F34"/>
    </sheetView>
  </sheetViews>
  <sheetFormatPr defaultRowHeight="14.25" x14ac:dyDescent="0.45"/>
  <cols>
    <col min="2" max="2" width="6.265625" customWidth="1"/>
    <col min="3" max="3" width="8.86328125" style="5" customWidth="1"/>
    <col min="4" max="4" width="10.86328125" style="5" bestFit="1" customWidth="1"/>
    <col min="5" max="5" width="9.1328125" style="5" bestFit="1" customWidth="1"/>
    <col min="6" max="6" width="10.86328125" style="7" bestFit="1" customWidth="1"/>
    <col min="7" max="7" width="10.1328125" style="7" bestFit="1" customWidth="1"/>
    <col min="8" max="8" width="8.265625" bestFit="1" customWidth="1"/>
    <col min="9" max="9" width="5.86328125" bestFit="1" customWidth="1"/>
    <col min="10" max="10" width="1.86328125" bestFit="1" customWidth="1"/>
    <col min="11" max="11" width="4.1328125" bestFit="1" customWidth="1"/>
  </cols>
  <sheetData>
    <row r="1" spans="1:9" x14ac:dyDescent="0.45">
      <c r="B1" s="11" t="s">
        <v>21</v>
      </c>
      <c r="C1" s="5">
        <v>1</v>
      </c>
      <c r="D1" s="12" t="s">
        <v>14</v>
      </c>
      <c r="F1" s="7">
        <v>28.092710228958623</v>
      </c>
      <c r="G1" s="7">
        <v>1918.710769527765</v>
      </c>
    </row>
    <row r="2" spans="1:9" x14ac:dyDescent="0.45">
      <c r="B2" s="11" t="s">
        <v>22</v>
      </c>
      <c r="C2" s="5">
        <v>1</v>
      </c>
      <c r="D2">
        <v>1E-3</v>
      </c>
      <c r="F2" s="9">
        <f>$D$2/F1</f>
        <v>3.5596423123646386E-5</v>
      </c>
      <c r="G2" s="9">
        <f>$D$2/G1</f>
        <v>5.2118329447127722E-7</v>
      </c>
    </row>
    <row r="3" spans="1:9" s="2" customFormat="1" x14ac:dyDescent="0.45">
      <c r="A3" s="2" t="s">
        <v>15</v>
      </c>
      <c r="B3" s="2" t="s">
        <v>16</v>
      </c>
      <c r="C3" s="6" t="s">
        <v>21</v>
      </c>
      <c r="D3" s="6" t="s">
        <v>22</v>
      </c>
      <c r="E3" s="6" t="s">
        <v>18</v>
      </c>
      <c r="F3" s="8" t="s">
        <v>6</v>
      </c>
      <c r="G3" s="8" t="s">
        <v>9</v>
      </c>
      <c r="H3" s="2" t="s">
        <v>13</v>
      </c>
      <c r="I3" s="2" t="s">
        <v>12</v>
      </c>
    </row>
    <row r="4" spans="1:9" x14ac:dyDescent="0.45">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45">
      <c r="A5">
        <v>86</v>
      </c>
      <c r="B5">
        <v>202</v>
      </c>
      <c r="C5" s="5">
        <f>H4</f>
        <v>1.0030612923886335</v>
      </c>
      <c r="D5" s="5">
        <f>I4</f>
        <v>1.0006275046865434</v>
      </c>
      <c r="E5" s="5">
        <f>C5+D5*A5</f>
        <v>87.057026695431361</v>
      </c>
      <c r="F5" s="7">
        <f t="shared" si="0"/>
        <v>-229.88594660913728</v>
      </c>
      <c r="G5" s="7">
        <f t="shared" si="1"/>
        <v>-19770.191408385806</v>
      </c>
      <c r="H5" s="3">
        <f t="shared" si="2"/>
        <v>1.0112444098143123</v>
      </c>
      <c r="I5" s="3">
        <f t="shared" si="3"/>
        <v>1.0109313981770935</v>
      </c>
    </row>
    <row r="6" spans="1:9" x14ac:dyDescent="0.45">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45">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45">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45">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45">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45">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45">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45">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v>
      </c>
      <c r="I13" s="3">
        <f t="shared" si="3"/>
        <v>1.0437476211784742</v>
      </c>
    </row>
    <row r="14" spans="1:9" x14ac:dyDescent="0.45">
      <c r="A14">
        <v>42</v>
      </c>
      <c r="B14">
        <v>114</v>
      </c>
      <c r="C14" s="5">
        <f t="shared" si="4"/>
        <v>1.053404369677893</v>
      </c>
      <c r="D14" s="5">
        <f t="shared" si="5"/>
        <v>1.0437476211784742</v>
      </c>
      <c r="E14" s="5">
        <f t="shared" si="6"/>
        <v>44.890804459173808</v>
      </c>
      <c r="F14" s="7">
        <f t="shared" si="0"/>
        <v>-138.21839108165238</v>
      </c>
      <c r="G14" s="7">
        <f t="shared" si="1"/>
        <v>-5805.1724254294004</v>
      </c>
      <c r="H14" s="3">
        <f t="shared" si="2"/>
        <v>1.0583244500103051</v>
      </c>
      <c r="I14" s="3">
        <f t="shared" si="3"/>
        <v>1.0467731800681332</v>
      </c>
    </row>
    <row r="15" spans="1:9" x14ac:dyDescent="0.45">
      <c r="A15">
        <v>62</v>
      </c>
      <c r="B15">
        <v>154</v>
      </c>
      <c r="C15" s="5">
        <f t="shared" si="4"/>
        <v>1.0583244500103051</v>
      </c>
      <c r="D15" s="5">
        <f>I14</f>
        <v>1.0467731800681332</v>
      </c>
      <c r="E15" s="5">
        <f t="shared" si="6"/>
        <v>65.958261614234559</v>
      </c>
      <c r="F15" s="7">
        <f t="shared" si="0"/>
        <v>-176.08347677153088</v>
      </c>
      <c r="G15" s="7">
        <f t="shared" si="1"/>
        <v>-10917.175559834915</v>
      </c>
      <c r="H15" s="3">
        <f t="shared" si="2"/>
        <v>1.0645923919545472</v>
      </c>
      <c r="I15" s="3">
        <f t="shared" si="3"/>
        <v>1.0524630295927293</v>
      </c>
    </row>
    <row r="16" spans="1:9" x14ac:dyDescent="0.45">
      <c r="A16">
        <v>47</v>
      </c>
      <c r="B16">
        <v>124</v>
      </c>
      <c r="C16" s="5">
        <f t="shared" si="4"/>
        <v>1.0645923919545472</v>
      </c>
      <c r="D16" s="5">
        <f t="shared" si="5"/>
        <v>1.0524630295927293</v>
      </c>
      <c r="E16" s="5">
        <f t="shared" si="6"/>
        <v>50.530354782812829</v>
      </c>
      <c r="F16" s="7">
        <f t="shared" si="0"/>
        <v>-146.93929043437436</v>
      </c>
      <c r="G16" s="7">
        <f t="shared" si="1"/>
        <v>-6906.1466504155951</v>
      </c>
      <c r="H16" s="3">
        <f t="shared" si="2"/>
        <v>1.0698229051103376</v>
      </c>
      <c r="I16" s="3">
        <f t="shared" si="3"/>
        <v>1.0560623978560946</v>
      </c>
    </row>
    <row r="17" spans="1:9" x14ac:dyDescent="0.45">
      <c r="A17">
        <v>35</v>
      </c>
      <c r="B17">
        <v>100</v>
      </c>
      <c r="C17" s="5">
        <f t="shared" si="4"/>
        <v>1.0698229051103376</v>
      </c>
      <c r="D17" s="5">
        <f t="shared" si="5"/>
        <v>1.0560623978560946</v>
      </c>
      <c r="E17" s="5">
        <f t="shared" si="6"/>
        <v>38.032006830073648</v>
      </c>
      <c r="F17" s="7">
        <f t="shared" si="0"/>
        <v>-123.9359863398527</v>
      </c>
      <c r="G17" s="7">
        <f t="shared" si="1"/>
        <v>-4337.7595218948445</v>
      </c>
      <c r="H17" s="3">
        <f t="shared" si="2"/>
        <v>1.0742345829203375</v>
      </c>
      <c r="I17" s="3">
        <f t="shared" si="3"/>
        <v>1.0583231656543399</v>
      </c>
    </row>
    <row r="18" spans="1:9" x14ac:dyDescent="0.45">
      <c r="A18">
        <v>9</v>
      </c>
      <c r="B18">
        <v>48</v>
      </c>
      <c r="C18" s="5">
        <f t="shared" si="4"/>
        <v>1.0742345829203375</v>
      </c>
      <c r="D18" s="5">
        <f t="shared" si="5"/>
        <v>1.0583231656543399</v>
      </c>
      <c r="E18" s="5">
        <f t="shared" si="6"/>
        <v>10.599143073809397</v>
      </c>
      <c r="F18" s="7">
        <f t="shared" si="0"/>
        <v>-74.801713852381198</v>
      </c>
      <c r="G18" s="7">
        <f t="shared" si="1"/>
        <v>-673.21542467143081</v>
      </c>
      <c r="H18" s="3">
        <f t="shared" si="2"/>
        <v>1.0768972563770007</v>
      </c>
      <c r="I18" s="3">
        <f t="shared" si="3"/>
        <v>1.0586740342872591</v>
      </c>
    </row>
    <row r="19" spans="1:9" x14ac:dyDescent="0.45">
      <c r="A19">
        <v>38</v>
      </c>
      <c r="B19">
        <v>106</v>
      </c>
      <c r="C19" s="5">
        <f t="shared" si="4"/>
        <v>1.0768972563770007</v>
      </c>
      <c r="D19" s="5">
        <f t="shared" si="5"/>
        <v>1.0586740342872591</v>
      </c>
      <c r="E19" s="5">
        <f t="shared" si="6"/>
        <v>41.306510559292853</v>
      </c>
      <c r="F19" s="7">
        <f t="shared" si="0"/>
        <v>-129.38697888141428</v>
      </c>
      <c r="G19" s="7">
        <f t="shared" si="1"/>
        <v>-4916.7051974937422</v>
      </c>
      <c r="H19" s="3">
        <f t="shared" si="2"/>
        <v>1.0815029700239538</v>
      </c>
      <c r="I19" s="3">
        <f t="shared" si="3"/>
        <v>1.0612365389000329</v>
      </c>
    </row>
    <row r="20" spans="1:9" x14ac:dyDescent="0.45">
      <c r="A20">
        <v>44</v>
      </c>
      <c r="B20">
        <v>118</v>
      </c>
      <c r="C20" s="5">
        <f t="shared" si="4"/>
        <v>1.0815029700239538</v>
      </c>
      <c r="D20" s="5">
        <f t="shared" si="5"/>
        <v>1.0612365389000329</v>
      </c>
      <c r="E20" s="5">
        <f t="shared" si="6"/>
        <v>47.775910681625405</v>
      </c>
      <c r="F20" s="7">
        <f t="shared" si="0"/>
        <v>-140.44817863674919</v>
      </c>
      <c r="G20" s="7">
        <f t="shared" si="1"/>
        <v>-6179.719860016964</v>
      </c>
      <c r="H20" s="3">
        <f t="shared" si="2"/>
        <v>1.086502422817653</v>
      </c>
      <c r="I20" s="3">
        <f t="shared" si="3"/>
        <v>1.0644573056555862</v>
      </c>
    </row>
    <row r="21" spans="1:9" x14ac:dyDescent="0.45">
      <c r="A21">
        <v>99</v>
      </c>
      <c r="B21">
        <v>228</v>
      </c>
      <c r="C21" s="5">
        <f t="shared" si="4"/>
        <v>1.086502422817653</v>
      </c>
      <c r="D21" s="5">
        <f t="shared" si="5"/>
        <v>1.0644573056555862</v>
      </c>
      <c r="E21" s="5">
        <f t="shared" si="6"/>
        <v>106.46777568272068</v>
      </c>
      <c r="F21" s="7">
        <f t="shared" si="0"/>
        <v>-243.06444863455863</v>
      </c>
      <c r="G21" s="7">
        <f t="shared" si="1"/>
        <v>-24063.380414821306</v>
      </c>
      <c r="H21" s="3">
        <f t="shared" si="2"/>
        <v>1.0951546477775644</v>
      </c>
      <c r="I21" s="3">
        <f t="shared" si="3"/>
        <v>1.0769987375362984</v>
      </c>
    </row>
    <row r="22" spans="1:9" x14ac:dyDescent="0.45">
      <c r="A22">
        <v>13</v>
      </c>
      <c r="B22">
        <v>56</v>
      </c>
      <c r="C22" s="5">
        <f t="shared" si="4"/>
        <v>1.0951546477775644</v>
      </c>
      <c r="D22" s="5">
        <f t="shared" si="5"/>
        <v>1.0769987375362984</v>
      </c>
      <c r="E22" s="5">
        <f t="shared" si="6"/>
        <v>15.096138235749443</v>
      </c>
      <c r="F22" s="7">
        <f t="shared" si="0"/>
        <v>-81.807723528501114</v>
      </c>
      <c r="G22" s="7">
        <f t="shared" si="1"/>
        <v>-1063.5004058705144</v>
      </c>
      <c r="H22" s="3">
        <f t="shared" si="2"/>
        <v>1.0980667101190673</v>
      </c>
      <c r="I22" s="3">
        <f t="shared" si="3"/>
        <v>1.0775530161815015</v>
      </c>
    </row>
    <row r="23" spans="1:9" x14ac:dyDescent="0.45">
      <c r="A23">
        <v>21</v>
      </c>
      <c r="B23">
        <v>72</v>
      </c>
      <c r="C23" s="5">
        <f t="shared" si="4"/>
        <v>1.0980667101190673</v>
      </c>
      <c r="D23" s="5">
        <f t="shared" si="5"/>
        <v>1.0775530161815015</v>
      </c>
      <c r="E23" s="5">
        <f t="shared" si="6"/>
        <v>23.726680049930597</v>
      </c>
      <c r="F23" s="7">
        <f t="shared" si="0"/>
        <v>-96.546639900138814</v>
      </c>
      <c r="G23" s="7">
        <f t="shared" si="1"/>
        <v>-2027.4794379029152</v>
      </c>
      <c r="H23" s="3">
        <f t="shared" si="2"/>
        <v>1.1015034251641189</v>
      </c>
      <c r="I23" s="3">
        <f t="shared" si="3"/>
        <v>1.0786097045944205</v>
      </c>
    </row>
    <row r="24" spans="1:9" x14ac:dyDescent="0.45">
      <c r="A24">
        <v>28</v>
      </c>
      <c r="B24">
        <v>86</v>
      </c>
      <c r="C24" s="5">
        <f t="shared" si="4"/>
        <v>1.1015034251641189</v>
      </c>
      <c r="D24" s="5">
        <f t="shared" si="5"/>
        <v>1.0786097045944205</v>
      </c>
      <c r="E24" s="5">
        <f t="shared" si="6"/>
        <v>31.302575153807894</v>
      </c>
      <c r="F24" s="7">
        <f t="shared" si="0"/>
        <v>-109.39484969238421</v>
      </c>
      <c r="G24" s="7">
        <f t="shared" si="1"/>
        <v>-3063.0557913867578</v>
      </c>
      <c r="H24" s="3">
        <f t="shared" si="2"/>
        <v>1.1053974905213166</v>
      </c>
      <c r="I24" s="3">
        <f t="shared" si="3"/>
        <v>1.0802061181029248</v>
      </c>
    </row>
    <row r="25" spans="1:9" x14ac:dyDescent="0.45">
      <c r="A25">
        <v>20</v>
      </c>
      <c r="B25">
        <v>70</v>
      </c>
      <c r="C25" s="5">
        <f t="shared" si="4"/>
        <v>1.1053974905213166</v>
      </c>
      <c r="D25" s="5">
        <f t="shared" si="5"/>
        <v>1.0802061181029248</v>
      </c>
      <c r="E25" s="5">
        <f t="shared" si="6"/>
        <v>22.709519852579813</v>
      </c>
      <c r="F25" s="7">
        <f t="shared" si="0"/>
        <v>-94.580960294840366</v>
      </c>
      <c r="G25" s="7">
        <f t="shared" si="1"/>
        <v>-1891.6192058968072</v>
      </c>
      <c r="H25" s="3">
        <f t="shared" si="2"/>
        <v>1.1087642344034125</v>
      </c>
      <c r="I25" s="3">
        <f t="shared" si="3"/>
        <v>1.0811919984325391</v>
      </c>
    </row>
    <row r="26" spans="1:9" x14ac:dyDescent="0.45">
      <c r="A26">
        <v>8</v>
      </c>
      <c r="B26">
        <v>46</v>
      </c>
      <c r="C26" s="5">
        <f t="shared" si="4"/>
        <v>1.1087642344034125</v>
      </c>
      <c r="D26" s="5">
        <f t="shared" si="5"/>
        <v>1.0811919984325391</v>
      </c>
      <c r="E26" s="5">
        <f t="shared" si="6"/>
        <v>9.7583002218637258</v>
      </c>
      <c r="F26" s="7">
        <f t="shared" si="0"/>
        <v>-72.483399556272545</v>
      </c>
      <c r="G26" s="7">
        <f t="shared" si="1"/>
        <v>-579.86719645018036</v>
      </c>
      <c r="H26" s="3">
        <f t="shared" si="2"/>
        <v>1.111344384163458</v>
      </c>
      <c r="I26" s="3">
        <f t="shared" si="3"/>
        <v>1.0814942155283409</v>
      </c>
    </row>
    <row r="27" spans="1:9" x14ac:dyDescent="0.45">
      <c r="A27">
        <v>64</v>
      </c>
      <c r="B27">
        <v>158</v>
      </c>
      <c r="C27" s="5">
        <f t="shared" si="4"/>
        <v>1.111344384163458</v>
      </c>
      <c r="D27" s="5">
        <f t="shared" si="5"/>
        <v>1.0814942155283409</v>
      </c>
      <c r="E27" s="5">
        <f t="shared" si="6"/>
        <v>70.326974177977277</v>
      </c>
      <c r="F27" s="7">
        <f t="shared" si="0"/>
        <v>-175.34605164404545</v>
      </c>
      <c r="G27" s="7">
        <f t="shared" si="1"/>
        <v>-11222.147305218909</v>
      </c>
      <c r="H27" s="3">
        <f t="shared" si="2"/>
        <v>1.1175860764108403</v>
      </c>
      <c r="I27" s="3">
        <f t="shared" si="3"/>
        <v>1.0873430112319169</v>
      </c>
    </row>
    <row r="28" spans="1:9" x14ac:dyDescent="0.45">
      <c r="A28">
        <v>99</v>
      </c>
      <c r="B28">
        <v>228</v>
      </c>
      <c r="C28" s="5">
        <f t="shared" si="4"/>
        <v>1.1175860764108403</v>
      </c>
      <c r="D28" s="5">
        <f t="shared" si="5"/>
        <v>1.0873430112319169</v>
      </c>
      <c r="E28" s="5">
        <f t="shared" si="6"/>
        <v>108.76454418837062</v>
      </c>
      <c r="F28" s="7">
        <f t="shared" si="0"/>
        <v>-238.47091162325876</v>
      </c>
      <c r="G28" s="7">
        <f t="shared" si="1"/>
        <v>-23608.620250702617</v>
      </c>
      <c r="H28" s="3">
        <f t="shared" si="2"/>
        <v>1.1260747878836634</v>
      </c>
      <c r="I28" s="3">
        <f t="shared" si="3"/>
        <v>1.0996474297120995</v>
      </c>
    </row>
    <row r="29" spans="1:9" x14ac:dyDescent="0.45">
      <c r="A29">
        <v>70</v>
      </c>
      <c r="B29">
        <v>170</v>
      </c>
      <c r="C29" s="5">
        <f t="shared" si="4"/>
        <v>1.1260747878836634</v>
      </c>
      <c r="D29" s="5">
        <f t="shared" si="5"/>
        <v>1.0996474297120995</v>
      </c>
      <c r="E29" s="5">
        <f t="shared" si="6"/>
        <v>78.101394867730633</v>
      </c>
      <c r="F29" s="7">
        <f t="shared" si="0"/>
        <v>-183.79721026453873</v>
      </c>
      <c r="G29" s="7">
        <f t="shared" si="1"/>
        <v>-12865.804718517711</v>
      </c>
      <c r="H29" s="3">
        <f t="shared" si="2"/>
        <v>1.1326173111491857</v>
      </c>
      <c r="I29" s="3">
        <f t="shared" si="3"/>
        <v>1.1063528722013207</v>
      </c>
    </row>
    <row r="30" spans="1:9" x14ac:dyDescent="0.45">
      <c r="A30">
        <v>27</v>
      </c>
      <c r="B30">
        <v>84</v>
      </c>
      <c r="C30" s="5">
        <f t="shared" si="4"/>
        <v>1.1326173111491857</v>
      </c>
      <c r="D30" s="5">
        <f t="shared" si="5"/>
        <v>1.1063528722013207</v>
      </c>
      <c r="E30" s="5">
        <f t="shared" si="6"/>
        <v>31.004144860584844</v>
      </c>
      <c r="F30" s="7">
        <f t="shared" si="0"/>
        <v>-105.99171027883031</v>
      </c>
      <c r="G30" s="7">
        <f t="shared" si="1"/>
        <v>-2861.7761775284184</v>
      </c>
      <c r="H30" s="3">
        <f t="shared" si="2"/>
        <v>1.1363902369158698</v>
      </c>
      <c r="I30" s="3">
        <f t="shared" si="3"/>
        <v>1.1078443821375643</v>
      </c>
    </row>
    <row r="31" spans="1:9" x14ac:dyDescent="0.45">
      <c r="A31">
        <v>17</v>
      </c>
      <c r="B31">
        <v>64</v>
      </c>
      <c r="C31" s="5">
        <f t="shared" si="4"/>
        <v>1.1363902369158698</v>
      </c>
      <c r="D31" s="5">
        <f t="shared" si="5"/>
        <v>1.1078443821375643</v>
      </c>
      <c r="E31" s="5">
        <f t="shared" si="6"/>
        <v>19.969744733254462</v>
      </c>
      <c r="F31" s="7">
        <f t="shared" si="0"/>
        <v>-88.060510533491083</v>
      </c>
      <c r="G31" s="7">
        <f t="shared" si="1"/>
        <v>-1497.0286790693485</v>
      </c>
      <c r="H31" s="3">
        <f t="shared" si="2"/>
        <v>1.1395248761093042</v>
      </c>
      <c r="I31" s="3">
        <f t="shared" si="3"/>
        <v>1.1086246084764397</v>
      </c>
    </row>
    <row r="32" spans="1:9" x14ac:dyDescent="0.45">
      <c r="A32">
        <v>8</v>
      </c>
      <c r="B32">
        <v>46</v>
      </c>
      <c r="C32" s="5">
        <f t="shared" si="4"/>
        <v>1.1395248761093042</v>
      </c>
      <c r="D32" s="5">
        <f t="shared" si="5"/>
        <v>1.1086246084764397</v>
      </c>
      <c r="E32" s="5">
        <f t="shared" si="6"/>
        <v>10.008521743920822</v>
      </c>
      <c r="F32" s="7">
        <f t="shared" si="0"/>
        <v>-71.982956512158353</v>
      </c>
      <c r="G32" s="7">
        <f t="shared" si="1"/>
        <v>-575.86365209726682</v>
      </c>
      <c r="H32" s="3">
        <f t="shared" si="2"/>
        <v>1.142087211887002</v>
      </c>
      <c r="I32" s="3">
        <f t="shared" si="3"/>
        <v>1.108924738991806</v>
      </c>
    </row>
    <row r="33" spans="1:11" x14ac:dyDescent="0.45">
      <c r="A33" s="7"/>
      <c r="B33" s="7"/>
      <c r="F33" s="7">
        <f>SQRT(SUMSQ(F4:F32))/COUNT(F4:F32)</f>
        <v>27.319962416863692</v>
      </c>
      <c r="G33" s="7">
        <f>SQRT(SUMSQ(G4:G32))/COUNT(G4:G32)</f>
        <v>1857.066741115646</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defaultRowHeight="14.25" x14ac:dyDescent="0.45"/>
  <cols>
    <col min="3" max="3" width="8.86328125" style="5" customWidth="1"/>
    <col min="4" max="4" width="10.86328125" style="5" bestFit="1" customWidth="1"/>
    <col min="5" max="5" width="9.1328125" style="5" bestFit="1" customWidth="1"/>
    <col min="6" max="6" width="10.86328125" style="7" bestFit="1" customWidth="1"/>
    <col min="7" max="7" width="10.1328125" style="7" bestFit="1" customWidth="1"/>
    <col min="8" max="8" width="8.265625" bestFit="1" customWidth="1"/>
    <col min="9" max="9" width="17" customWidth="1"/>
    <col min="10" max="10" width="8.3984375" customWidth="1"/>
    <col min="11" max="11" width="19.59765625" customWidth="1"/>
  </cols>
  <sheetData>
    <row r="1" spans="1:11" x14ac:dyDescent="0.45">
      <c r="B1" t="s">
        <v>21</v>
      </c>
      <c r="C1" s="5">
        <v>1</v>
      </c>
      <c r="D1" s="5" t="s">
        <v>14</v>
      </c>
      <c r="J1">
        <v>0.9</v>
      </c>
      <c r="K1">
        <f>1-J1</f>
        <v>9.9999999999999978E-2</v>
      </c>
    </row>
    <row r="2" spans="1:11" x14ac:dyDescent="0.45">
      <c r="B2" t="s">
        <v>22</v>
      </c>
      <c r="C2" s="5">
        <v>1</v>
      </c>
      <c r="D2">
        <v>0.02</v>
      </c>
      <c r="F2" s="9"/>
      <c r="G2" s="9"/>
    </row>
    <row r="3" spans="1:11" s="2" customFormat="1" x14ac:dyDescent="0.45">
      <c r="A3" s="2" t="s">
        <v>15</v>
      </c>
      <c r="B3" s="2" t="s">
        <v>16</v>
      </c>
      <c r="C3" s="6" t="s">
        <v>21</v>
      </c>
      <c r="D3" s="6" t="s">
        <v>22</v>
      </c>
      <c r="E3" s="6" t="s">
        <v>18</v>
      </c>
      <c r="F3" s="8" t="s">
        <v>6</v>
      </c>
      <c r="G3" s="8" t="s">
        <v>9</v>
      </c>
      <c r="H3" s="2" t="s">
        <v>13</v>
      </c>
      <c r="I3" s="2" t="s">
        <v>12</v>
      </c>
      <c r="J3">
        <f>J33</f>
        <v>9309.6314749795092</v>
      </c>
      <c r="K3">
        <f>K33</f>
        <v>38847505.049484089</v>
      </c>
    </row>
    <row r="4" spans="1:11" x14ac:dyDescent="0.45">
      <c r="A4">
        <v>14</v>
      </c>
      <c r="B4">
        <v>58</v>
      </c>
      <c r="C4" s="5">
        <f>C1</f>
        <v>1</v>
      </c>
      <c r="D4" s="5">
        <f>C2</f>
        <v>1</v>
      </c>
      <c r="E4" s="5">
        <f>C4+D4*A4</f>
        <v>15</v>
      </c>
      <c r="F4" s="7">
        <f t="shared" ref="F4:F32" si="0">2*(D4*A4+C4-B4)</f>
        <v>-86</v>
      </c>
      <c r="G4" s="7">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45">
      <c r="A5">
        <v>86</v>
      </c>
      <c r="B5">
        <v>202</v>
      </c>
      <c r="C5" s="5">
        <f>H4</f>
        <v>1.0178263406803389</v>
      </c>
      <c r="D5" s="5">
        <f>I4</f>
        <v>1.0038634466250291</v>
      </c>
      <c r="E5" s="5">
        <f>C5+D5*A5</f>
        <v>87.350082750432847</v>
      </c>
      <c r="F5" s="7">
        <f t="shared" si="0"/>
        <v>-229.29983449913431</v>
      </c>
      <c r="G5" s="7">
        <f t="shared" si="1"/>
        <v>-19719.78576692555</v>
      </c>
      <c r="H5" s="3">
        <f t="shared" si="2"/>
        <v>1.0658524663353617</v>
      </c>
      <c r="I5" s="3">
        <f t="shared" si="3"/>
        <v>1.0704261418714132</v>
      </c>
      <c r="J5">
        <f t="shared" si="4"/>
        <v>13464.282904866439</v>
      </c>
      <c r="K5">
        <f t="shared" si="5"/>
        <v>70483939.599426061</v>
      </c>
    </row>
    <row r="6" spans="1:11" x14ac:dyDescent="0.45">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3"/>
        <v>1.0777583902566392</v>
      </c>
      <c r="J6">
        <f>J5*$J$1+$K$1*F6^2</f>
        <v>13326.192670140983</v>
      </c>
      <c r="K6">
        <f>K5*$J$1+$K$1*G6^2</f>
        <v>64382882.675200231</v>
      </c>
    </row>
    <row r="7" spans="1:11" x14ac:dyDescent="0.45">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3"/>
        <v>1.0970678449350288</v>
      </c>
      <c r="J7">
        <f t="shared" si="4"/>
        <v>14300.905419051738</v>
      </c>
      <c r="K7">
        <f t="shared" si="5"/>
        <v>63945964.981100745</v>
      </c>
    </row>
    <row r="8" spans="1:11" x14ac:dyDescent="0.45">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3"/>
        <v>1.1046549863400486</v>
      </c>
      <c r="J8">
        <f t="shared" si="4"/>
        <v>14044.613101106479</v>
      </c>
      <c r="K8">
        <f t="shared" si="5"/>
        <v>58471626.290575251</v>
      </c>
    </row>
    <row r="9" spans="1:11" x14ac:dyDescent="0.45">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3"/>
        <v>1.1129735692503928</v>
      </c>
      <c r="J9">
        <f t="shared" si="4"/>
        <v>13842.93646354764</v>
      </c>
      <c r="K9">
        <f t="shared" si="5"/>
        <v>53636005.571133792</v>
      </c>
    </row>
    <row r="10" spans="1:11" x14ac:dyDescent="0.45">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3"/>
        <v>1.149434611195548</v>
      </c>
      <c r="J10">
        <f t="shared" si="4"/>
        <v>15897.305642834803</v>
      </c>
      <c r="K10">
        <f t="shared" si="5"/>
        <v>66098433.10214816</v>
      </c>
    </row>
    <row r="11" spans="1:11" x14ac:dyDescent="0.45">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3"/>
        <v>1.1743123492204013</v>
      </c>
      <c r="J11">
        <f t="shared" si="4"/>
        <v>16968.113741294474</v>
      </c>
      <c r="K11">
        <f t="shared" si="5"/>
        <v>69715700.411518008</v>
      </c>
    </row>
    <row r="12" spans="1:11" x14ac:dyDescent="0.45">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3"/>
        <v>1.2138104208910743</v>
      </c>
      <c r="J12">
        <f t="shared" si="4"/>
        <v>19124.877391072438</v>
      </c>
      <c r="K12">
        <f t="shared" si="5"/>
        <v>89934955.739056915</v>
      </c>
    </row>
    <row r="13" spans="1:11" x14ac:dyDescent="0.45">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3"/>
        <v>1.2163764339212277</v>
      </c>
      <c r="J13">
        <f t="shared" si="4"/>
        <v>17870.356073590989</v>
      </c>
      <c r="K13">
        <f t="shared" si="5"/>
        <v>81089502.610017031</v>
      </c>
    </row>
    <row r="14" spans="1:11" x14ac:dyDescent="0.45">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3"/>
        <v>1.2278809131934156</v>
      </c>
      <c r="J14">
        <f t="shared" si="4"/>
        <v>17604.358228715075</v>
      </c>
      <c r="K14">
        <f t="shared" si="5"/>
        <v>75663662.962035671</v>
      </c>
    </row>
    <row r="15" spans="1:11" x14ac:dyDescent="0.45">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3"/>
        <v>1.2497218037710511</v>
      </c>
      <c r="J15">
        <f t="shared" si="4"/>
        <v>18191.309313053822</v>
      </c>
      <c r="K15">
        <f t="shared" si="5"/>
        <v>77120651.937148318</v>
      </c>
    </row>
    <row r="16" spans="1:11" x14ac:dyDescent="0.45">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3"/>
        <v>1.2634173555013009</v>
      </c>
      <c r="J16">
        <f t="shared" si="4"/>
        <v>18009.274015880168</v>
      </c>
      <c r="K16">
        <f t="shared" si="5"/>
        <v>73024930.999230474</v>
      </c>
    </row>
    <row r="17" spans="1:11" x14ac:dyDescent="0.45">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3"/>
        <v>1.2723416247149248</v>
      </c>
      <c r="J17">
        <f t="shared" si="4"/>
        <v>17395.263753460276</v>
      </c>
      <c r="K17">
        <f t="shared" si="5"/>
        <v>67176411.394788384</v>
      </c>
    </row>
    <row r="18" spans="1:11" x14ac:dyDescent="0.45">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3"/>
        <v>1.2738888269071464</v>
      </c>
      <c r="J18">
        <f t="shared" si="4"/>
        <v>16152.062129617498</v>
      </c>
      <c r="K18">
        <f t="shared" si="5"/>
        <v>60498972.560181305</v>
      </c>
    </row>
    <row r="19" spans="1:11" x14ac:dyDescent="0.45">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3"/>
        <v>1.2848827361283015</v>
      </c>
      <c r="J19">
        <f t="shared" si="4"/>
        <v>15802.830853494237</v>
      </c>
      <c r="K19">
        <f t="shared" si="5"/>
        <v>56277143.112957954</v>
      </c>
    </row>
    <row r="20" spans="1:11" x14ac:dyDescent="0.45">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3"/>
        <v>1.29898585224858</v>
      </c>
      <c r="J20">
        <f t="shared" si="4"/>
        <v>15667.977094039874</v>
      </c>
      <c r="K20">
        <f t="shared" si="5"/>
        <v>53447779.976594999</v>
      </c>
    </row>
    <row r="21" spans="1:11" x14ac:dyDescent="0.45">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3"/>
        <v>1.3520847425934954</v>
      </c>
      <c r="J21">
        <f t="shared" si="4"/>
        <v>17945.062569826499</v>
      </c>
      <c r="K21">
        <f t="shared" si="5"/>
        <v>85776901.076988667</v>
      </c>
    </row>
    <row r="22" spans="1:11" x14ac:dyDescent="0.45">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3"/>
        <v>1.3541632806325754</v>
      </c>
      <c r="J22">
        <f t="shared" si="4"/>
        <v>16698.757043387868</v>
      </c>
      <c r="K22">
        <f t="shared" si="5"/>
        <v>77291856.892751753</v>
      </c>
    </row>
    <row r="23" spans="1:11" x14ac:dyDescent="0.45">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3"/>
        <v>1.3581904393135271</v>
      </c>
      <c r="J23">
        <f t="shared" si="4"/>
        <v>15739.493515546994</v>
      </c>
      <c r="K23">
        <f t="shared" si="5"/>
        <v>69876051.173312157</v>
      </c>
    </row>
    <row r="24" spans="1:11" x14ac:dyDescent="0.45">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3"/>
        <v>1.3644265979611134</v>
      </c>
      <c r="J24">
        <f t="shared" si="4"/>
        <v>15032.080164599438</v>
      </c>
      <c r="K24">
        <f t="shared" si="5"/>
        <v>63567810.280456945</v>
      </c>
    </row>
    <row r="25" spans="1:11" x14ac:dyDescent="0.45">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3"/>
        <v>1.3685675954784378</v>
      </c>
      <c r="J25">
        <f t="shared" si="4"/>
        <v>14210.154610057887</v>
      </c>
      <c r="K25">
        <f t="shared" si="5"/>
        <v>57483542.237178609</v>
      </c>
    </row>
    <row r="26" spans="1:11" x14ac:dyDescent="0.45">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3"/>
        <v>1.3699855801769021</v>
      </c>
      <c r="J26">
        <f t="shared" si="4"/>
        <v>13240.627600175287</v>
      </c>
      <c r="K26">
        <f t="shared" si="5"/>
        <v>51764083.274332635</v>
      </c>
    </row>
    <row r="27" spans="1:11" x14ac:dyDescent="0.45">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3"/>
        <v>1.3944851740299169</v>
      </c>
      <c r="J27">
        <f t="shared" si="4"/>
        <v>13812.949167944951</v>
      </c>
      <c r="K27">
        <f t="shared" si="5"/>
        <v>54355265.153515711</v>
      </c>
    </row>
    <row r="28" spans="1:11" x14ac:dyDescent="0.45">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3"/>
        <v>1.4419968577618538</v>
      </c>
      <c r="J28">
        <f t="shared" si="4"/>
        <v>15561.421782413567</v>
      </c>
      <c r="K28">
        <f t="shared" si="5"/>
        <v>79594590.212073892</v>
      </c>
    </row>
    <row r="29" spans="1:11" x14ac:dyDescent="0.45">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3"/>
        <v>1.4631939659832729</v>
      </c>
      <c r="J29">
        <f t="shared" si="4"/>
        <v>15829.934404449519</v>
      </c>
      <c r="K29">
        <f t="shared" si="5"/>
        <v>80575939.712225318</v>
      </c>
    </row>
    <row r="30" spans="1:11" x14ac:dyDescent="0.45">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3"/>
        <v>1.4683617245108218</v>
      </c>
      <c r="J30">
        <f t="shared" si="4"/>
        <v>14984.88305774193</v>
      </c>
      <c r="K30">
        <f t="shared" si="5"/>
        <v>73056305.527337328</v>
      </c>
    </row>
    <row r="31" spans="1:11" x14ac:dyDescent="0.45">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3"/>
        <v>1.471343708138098</v>
      </c>
      <c r="J31">
        <f t="shared" si="4"/>
        <v>14048.361192528348</v>
      </c>
      <c r="K31">
        <f t="shared" si="5"/>
        <v>65913083.275925606</v>
      </c>
    </row>
    <row r="32" spans="1:11" x14ac:dyDescent="0.45">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3"/>
        <v>1.4726310635401902</v>
      </c>
      <c r="J32">
        <f t="shared" si="4"/>
        <v>13070.230908335576</v>
      </c>
      <c r="K32">
        <f t="shared" si="5"/>
        <v>59349084.121776894</v>
      </c>
    </row>
    <row r="33" spans="1:11" x14ac:dyDescent="0.45">
      <c r="A33" s="7"/>
      <c r="B33" s="7"/>
      <c r="H33" s="3"/>
      <c r="J33" s="7">
        <v>9309.6314749795092</v>
      </c>
      <c r="K33">
        <v>38847505.049484089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
  <dimension ref="A1:O33"/>
  <sheetViews>
    <sheetView zoomScale="120" zoomScaleNormal="130" workbookViewId="0">
      <pane xSplit="3" ySplit="3" topLeftCell="D4" activePane="bottomRight" state="frozen"/>
      <selection pane="topRight" activeCell="D1" sqref="D1"/>
      <selection pane="bottomLeft" activeCell="A4" sqref="A4"/>
      <selection pane="bottomRight" activeCell="E4" sqref="E4"/>
    </sheetView>
  </sheetViews>
  <sheetFormatPr defaultRowHeight="14.25" x14ac:dyDescent="0.45"/>
  <cols>
    <col min="3" max="3" width="8.86328125" style="5" customWidth="1"/>
    <col min="4" max="4" width="10.86328125" style="5" bestFit="1" customWidth="1"/>
    <col min="5" max="5" width="9.1328125" style="5" bestFit="1" customWidth="1"/>
    <col min="6" max="6" width="10.86328125" style="7" bestFit="1" customWidth="1"/>
    <col min="7" max="7" width="10.1328125" style="7" bestFit="1" customWidth="1"/>
    <col min="8" max="8" width="8.265625" bestFit="1" customWidth="1"/>
    <col min="9" max="9" width="5.86328125" bestFit="1" customWidth="1"/>
    <col min="10" max="11" width="6.59765625" customWidth="1"/>
    <col min="12" max="12" width="8.3984375" customWidth="1"/>
    <col min="13" max="13" width="13.1328125" customWidth="1"/>
  </cols>
  <sheetData>
    <row r="1" spans="1:15" x14ac:dyDescent="0.45">
      <c r="B1" t="s">
        <v>21</v>
      </c>
      <c r="C1" s="5">
        <v>1</v>
      </c>
      <c r="D1" s="5" t="s">
        <v>14</v>
      </c>
      <c r="I1" t="s">
        <v>24</v>
      </c>
      <c r="J1">
        <v>0.7</v>
      </c>
      <c r="K1">
        <f>1-J1</f>
        <v>0.30000000000000004</v>
      </c>
      <c r="L1">
        <v>0.9</v>
      </c>
      <c r="M1">
        <f>1-L1</f>
        <v>9.9999999999999978E-2</v>
      </c>
    </row>
    <row r="2" spans="1:15" x14ac:dyDescent="0.45">
      <c r="B2" t="s">
        <v>22</v>
      </c>
      <c r="C2" s="5">
        <v>1</v>
      </c>
      <c r="D2">
        <v>1</v>
      </c>
      <c r="F2" s="9"/>
      <c r="G2" s="9"/>
    </row>
    <row r="3" spans="1:15" s="2" customFormat="1" x14ac:dyDescent="0.45">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45">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45">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45">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45">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45">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45">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45">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45">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45">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45">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45">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45">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45">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45">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45">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45">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45">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45">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45">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45">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45">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45">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45">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45">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45">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45">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45">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45">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45">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45">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ve"/>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4.25" x14ac:dyDescent="0.45"/>
  <cols>
    <col min="3" max="3" width="8.86328125" style="5" customWidth="1"/>
    <col min="4" max="4" width="10.86328125" style="5" bestFit="1" customWidth="1"/>
    <col min="5" max="5" width="9.1328125" style="5" bestFit="1" customWidth="1"/>
    <col min="6" max="6" width="9.1328125" style="5" customWidth="1"/>
    <col min="7" max="7" width="10.86328125" style="7" bestFit="1" customWidth="1"/>
    <col min="8" max="8" width="10.1328125" style="7" bestFit="1" customWidth="1"/>
    <col min="9" max="9" width="8.265625" bestFit="1" customWidth="1"/>
    <col min="10" max="10" width="5.86328125" bestFit="1" customWidth="1"/>
    <col min="11" max="12" width="6.59765625" customWidth="1"/>
    <col min="13" max="13" width="8.3984375" customWidth="1"/>
    <col min="14" max="14" width="13.1328125" customWidth="1"/>
  </cols>
  <sheetData>
    <row r="1" spans="1:16" x14ac:dyDescent="0.45">
      <c r="B1" t="s">
        <v>21</v>
      </c>
      <c r="C1" s="5">
        <v>1</v>
      </c>
      <c r="D1" s="5" t="s">
        <v>14</v>
      </c>
      <c r="J1" t="s">
        <v>24</v>
      </c>
      <c r="K1">
        <v>0.7</v>
      </c>
      <c r="L1">
        <f>1-K1</f>
        <v>0.30000000000000004</v>
      </c>
      <c r="M1">
        <v>0.9</v>
      </c>
      <c r="N1">
        <f>1-M1</f>
        <v>9.9999999999999978E-2</v>
      </c>
    </row>
    <row r="2" spans="1:16" x14ac:dyDescent="0.45">
      <c r="B2" t="s">
        <v>22</v>
      </c>
      <c r="C2" s="5">
        <v>1</v>
      </c>
      <c r="D2">
        <v>1</v>
      </c>
      <c r="G2" s="9"/>
      <c r="H2" s="9"/>
    </row>
    <row r="3" spans="1:16" s="2" customFormat="1" x14ac:dyDescent="0.45">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45">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45">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45">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45">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45">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45">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45">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45">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45">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45">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45">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45">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45">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45">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45">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45">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45">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45">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45">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45">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45">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45">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45">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45">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45">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45">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45">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45">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45">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45">
      <c r="A33" s="7"/>
      <c r="B33" s="7"/>
      <c r="E33" s="5" t="s">
        <v>25</v>
      </c>
      <c r="F33" s="5">
        <f>SQRT(SUM(F4:F32))</f>
        <v>235.28150716589968</v>
      </c>
      <c r="I33" s="3"/>
      <c r="K33">
        <v>4.223800054218521</v>
      </c>
      <c r="L33">
        <v>-15.966661111217437</v>
      </c>
      <c r="M33" s="7">
        <v>672.90108904624503</v>
      </c>
      <c r="N33" s="7">
        <v>2666772.9314021971</v>
      </c>
      <c r="P33" s="10"/>
    </row>
    <row r="34" spans="1:16" x14ac:dyDescent="0.45">
      <c r="E34" s="5" t="s">
        <v>26</v>
      </c>
      <c r="F34" s="5">
        <v>239.79849927509557</v>
      </c>
    </row>
    <row r="35" spans="1:16" x14ac:dyDescent="0.45">
      <c r="E35" s="5" t="s">
        <v>27</v>
      </c>
      <c r="F35" s="5">
        <v>119.89924963754778</v>
      </c>
    </row>
    <row r="36" spans="1:16" x14ac:dyDescent="0.45">
      <c r="E36" s="5" t="s">
        <v>28</v>
      </c>
      <c r="F36" s="7">
        <f>ABS(ft_1-ft_2)/MIN(ft_1,ft_2)</f>
        <v>1</v>
      </c>
    </row>
    <row r="37" spans="1:16" x14ac:dyDescent="0.45">
      <c r="E37" s="5" t="s">
        <v>29</v>
      </c>
      <c r="F37" s="7">
        <v>1</v>
      </c>
      <c r="H37" s="7" t="s">
        <v>24</v>
      </c>
    </row>
    <row r="38" spans="1:16" x14ac:dyDescent="0.45">
      <c r="E38" s="5" t="s">
        <v>30</v>
      </c>
      <c r="F38" s="7">
        <f>dt_1*H38+(1-H38)*rtee</f>
        <v>1</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nnealing"/>
  <dimension ref="A1:J33"/>
  <sheetViews>
    <sheetView zoomScale="120" zoomScaleNormal="120" workbookViewId="0">
      <selection activeCell="J1" sqref="J1"/>
    </sheetView>
  </sheetViews>
  <sheetFormatPr defaultRowHeight="14.25" x14ac:dyDescent="0.45"/>
  <cols>
    <col min="1" max="1" width="9.73046875" customWidth="1"/>
    <col min="2" max="2" width="3.86328125" bestFit="1" customWidth="1"/>
    <col min="3" max="5" width="9.1328125" style="5"/>
    <col min="6" max="6" width="9" bestFit="1" customWidth="1"/>
    <col min="7" max="7" width="12.86328125" customWidth="1"/>
    <col min="8" max="8" width="13.1328125" customWidth="1"/>
    <col min="9" max="9" width="9" bestFit="1" customWidth="1"/>
  </cols>
  <sheetData>
    <row r="1" spans="1:10" x14ac:dyDescent="0.45">
      <c r="B1" t="s">
        <v>21</v>
      </c>
      <c r="C1" s="5">
        <v>29.406245790980623</v>
      </c>
      <c r="D1" s="5" t="s">
        <v>14</v>
      </c>
      <c r="F1">
        <v>0.27585466085056881</v>
      </c>
      <c r="G1">
        <v>16.186122587302258</v>
      </c>
      <c r="H1">
        <v>100</v>
      </c>
      <c r="J1">
        <v>8.1502795969492121E-3</v>
      </c>
    </row>
    <row r="2" spans="1:10" x14ac:dyDescent="0.45">
      <c r="B2" t="s">
        <v>22</v>
      </c>
      <c r="C2" s="5">
        <v>2.0217110111321754</v>
      </c>
      <c r="D2">
        <v>3.90625E-3</v>
      </c>
      <c r="F2">
        <f>$D$2/F1</f>
        <v>1.4160536522948314E-2</v>
      </c>
      <c r="G2">
        <f>$D$2/G1</f>
        <v>2.4133327663441694E-4</v>
      </c>
    </row>
    <row r="3" spans="1:10" s="2" customFormat="1" x14ac:dyDescent="0.45">
      <c r="A3" s="2" t="s">
        <v>15</v>
      </c>
      <c r="B3" s="2" t="s">
        <v>16</v>
      </c>
      <c r="C3" s="6" t="s">
        <v>21</v>
      </c>
      <c r="D3" s="6" t="s">
        <v>22</v>
      </c>
      <c r="E3" s="6" t="s">
        <v>18</v>
      </c>
      <c r="F3" s="2" t="s">
        <v>6</v>
      </c>
      <c r="G3" s="2" t="s">
        <v>9</v>
      </c>
      <c r="H3" s="2" t="s">
        <v>12</v>
      </c>
      <c r="I3" s="2" t="s">
        <v>13</v>
      </c>
    </row>
    <row r="4" spans="1:10" x14ac:dyDescent="0.45">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45">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45">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45">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45">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45">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45">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45">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45">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45">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45">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45">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45">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45">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45">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45">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45">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45">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45">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45">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45">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45">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45">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45">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45">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45">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45">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45">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45">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45">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J5" sqref="J5"/>
    </sheetView>
  </sheetViews>
  <sheetFormatPr defaultRowHeight="14.25" x14ac:dyDescent="0.45"/>
  <cols>
    <col min="3" max="3" width="8.86328125" style="5" customWidth="1"/>
    <col min="4" max="4" width="10.86328125" style="5" bestFit="1" customWidth="1"/>
    <col min="5" max="5" width="9.1328125" style="5" bestFit="1" customWidth="1"/>
    <col min="6" max="6" width="10.86328125" style="7" bestFit="1" customWidth="1"/>
    <col min="7" max="7" width="10.1328125" style="7" bestFit="1" customWidth="1"/>
    <col min="8" max="8" width="8.265625" bestFit="1" customWidth="1"/>
    <col min="9" max="9" width="5.86328125" bestFit="1" customWidth="1"/>
    <col min="10" max="11" width="6.59765625" customWidth="1"/>
    <col min="12" max="12" width="8.3984375" customWidth="1"/>
    <col min="13" max="13" width="13.1328125" customWidth="1"/>
    <col min="14" max="14" width="8.265625" customWidth="1"/>
  </cols>
  <sheetData>
    <row r="1" spans="1:15" x14ac:dyDescent="0.45">
      <c r="B1" t="s">
        <v>21</v>
      </c>
      <c r="C1" s="5">
        <v>29.990939773126538</v>
      </c>
      <c r="D1" s="5" t="s">
        <v>14</v>
      </c>
      <c r="I1" t="s">
        <v>24</v>
      </c>
      <c r="J1">
        <v>0.9</v>
      </c>
      <c r="K1">
        <f>1-J1</f>
        <v>9.9999999999999978E-2</v>
      </c>
      <c r="L1">
        <v>0.95</v>
      </c>
      <c r="M1">
        <f>1-L1</f>
        <v>5.0000000000000044E-2</v>
      </c>
    </row>
    <row r="2" spans="1:15" x14ac:dyDescent="0.45">
      <c r="B2" t="s">
        <v>22</v>
      </c>
      <c r="C2" s="5">
        <v>2.0041632844175137</v>
      </c>
      <c r="D2">
        <v>3.90625E-3</v>
      </c>
      <c r="F2" s="9"/>
      <c r="G2" s="9"/>
    </row>
    <row r="3" spans="1:15" s="2" customFormat="1" x14ac:dyDescent="0.45">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45">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45">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45">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45">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45">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45">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45">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45">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45">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45">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45">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45">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45">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45">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45">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45">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45">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45">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45">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45">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45">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45">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45">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45">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45">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45">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45">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45">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45">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45">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45">
      <c r="K34">
        <f>1/K3</f>
        <v>-0.24605072888352394</v>
      </c>
      <c r="L34">
        <f>1/L3</f>
        <v>39.56338499278089</v>
      </c>
      <c r="N34">
        <f>avg_grad2/prev_grad2</f>
        <v>1.2475765612497367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9525</xdr:colOff>
                    <xdr:row>0</xdr:row>
                    <xdr:rowOff>9525</xdr:rowOff>
                  </from>
                  <to>
                    <xdr:col>0</xdr:col>
                    <xdr:colOff>638175</xdr:colOff>
                    <xdr:row>0</xdr:row>
                    <xdr:rowOff>180975</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9525</xdr:colOff>
                    <xdr:row>1</xdr:row>
                    <xdr:rowOff>9525</xdr:rowOff>
                  </from>
                  <to>
                    <xdr:col>0</xdr:col>
                    <xdr:colOff>638175</xdr:colOff>
                    <xdr:row>1</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Intro</vt:lpstr>
      <vt:lpstr>data</vt:lpstr>
      <vt:lpstr>basic SGD</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eve!const</vt:lpstr>
      <vt:lpstr>momentum!const</vt:lpstr>
      <vt:lpstr>rmsprop!const</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eve!gradtarget</vt:lpstr>
      <vt:lpstr>rmsprop!gradtarget</vt:lpstr>
      <vt:lpstr>adagrad!histgrad</vt:lpstr>
      <vt:lpstr>adagrad_ann!histgrad</vt:lpstr>
      <vt:lpstr>adam!histgrad</vt:lpstr>
      <vt:lpstr>adam_ann!histgrad</vt:lpstr>
      <vt:lpstr>'basic SGD'!histgrad</vt:lpstr>
      <vt:lpstr>eve!histgrad</vt:lpstr>
      <vt:lpstr>momentum!histgrad</vt:lpstr>
      <vt:lpstr>rmsprop!histgrad</vt:lpstr>
      <vt:lpstr>adagrad!lastconst</vt:lpstr>
      <vt:lpstr>adagrad_ann!lastconst</vt:lpstr>
      <vt:lpstr>adam!lastconst</vt:lpstr>
      <vt:lpstr>adam_ann!lastconst</vt:lpstr>
      <vt:lpstr>'basic SGD'!lastconst</vt:lpstr>
      <vt:lpstr>eve!lastconst</vt:lpstr>
      <vt:lpstr>momentum!lastconst</vt:lpstr>
      <vt:lpstr>rmsprop!lastconst</vt:lpstr>
      <vt:lpstr>adagrad!lastslope</vt:lpstr>
      <vt:lpstr>adagrad_ann!lastslope</vt:lpstr>
      <vt:lpstr>adam!lastslope</vt:lpstr>
      <vt:lpstr>adam_ann!lastslope</vt:lpstr>
      <vt:lpstr>'basic SGD'!lastslope</vt:lpstr>
      <vt:lpstr>eve!lastslope</vt:lpstr>
      <vt:lpstr>momentum!lastslope</vt:lpstr>
      <vt:lpstr>rmsprop!lastslope</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SGD'!rmses</vt:lpstr>
      <vt:lpstr>'basic SGD'!rmsestart</vt:lpstr>
      <vt:lpstr>eve!rtee</vt:lpstr>
      <vt:lpstr>adagrad!slope</vt:lpstr>
      <vt:lpstr>adagrad_ann!slope</vt:lpstr>
      <vt:lpstr>adam!slope</vt:lpstr>
      <vt:lpstr>adam_ann!slope</vt:lpstr>
      <vt:lpstr>'basic SGD'!slope</vt:lpstr>
      <vt:lpstr>eve!slope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Jeremy Howard</cp:lastModifiedBy>
  <dcterms:created xsi:type="dcterms:W3CDTF">2014-03-27T15:29:57Z</dcterms:created>
  <dcterms:modified xsi:type="dcterms:W3CDTF">2016-11-23T00:21:49Z</dcterms:modified>
</cp:coreProperties>
</file>