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lrcno\fastai\courses\dl1\excel\"/>
    </mc:Choice>
  </mc:AlternateContent>
  <xr:revisionPtr revIDLastSave="0" documentId="13_ncr:1_{9E817021-B6D5-49C3-9C2F-C2361DB9A28B}" xr6:coauthVersionLast="36" xr6:coauthVersionMax="36" xr10:uidLastSave="{00000000-0000-0000-0000-000000000000}"/>
  <bookViews>
    <workbookView xWindow="945" yWindow="0" windowWidth="50655" windowHeight="19500" activeTab="2" xr2:uid="{00000000-000D-0000-FFFF-FFFF00000000}"/>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intercept">data!$C$2</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earning_rate_SGD">'basic SGD'!$F$1</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 name="slope">data!$C$3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32" i="3" l="1"/>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F2" i="2" l="1"/>
  <c r="N33" i="19" l="1"/>
  <c r="D4" i="19" l="1"/>
  <c r="C4" i="19"/>
  <c r="M3" i="19"/>
  <c r="L3" i="19"/>
  <c r="L34" i="19" s="1"/>
  <c r="K3" i="19"/>
  <c r="K34" i="19" s="1"/>
  <c r="J3" i="19"/>
  <c r="M1" i="19"/>
  <c r="K1" i="19"/>
  <c r="F36" i="16"/>
  <c r="F38" i="16" s="1"/>
  <c r="D4" i="18"/>
  <c r="C4" i="18"/>
  <c r="K3" i="18"/>
  <c r="J3" i="18"/>
  <c r="K1" i="18"/>
  <c r="F4" i="19" l="1"/>
  <c r="G4" i="19" s="1"/>
  <c r="K4" i="19" s="1"/>
  <c r="E4" i="19"/>
  <c r="F4" i="18"/>
  <c r="G4" i="18" s="1"/>
  <c r="K4" i="18" s="1"/>
  <c r="I4" i="18" s="1"/>
  <c r="D5" i="18" s="1"/>
  <c r="E4" i="18"/>
  <c r="D4" i="16"/>
  <c r="C4" i="16"/>
  <c r="N3" i="16"/>
  <c r="M3" i="16"/>
  <c r="L3" i="16"/>
  <c r="K3" i="16"/>
  <c r="N1" i="16"/>
  <c r="L1" i="16"/>
  <c r="J4" i="19" l="1"/>
  <c r="J5" i="19" s="1"/>
  <c r="M4" i="19"/>
  <c r="I4" i="19" s="1"/>
  <c r="D5" i="19" s="1"/>
  <c r="L4" i="19"/>
  <c r="J4" i="18"/>
  <c r="E4" i="16"/>
  <c r="F4" i="16" s="1"/>
  <c r="G4" i="16"/>
  <c r="H4" i="16" s="1"/>
  <c r="N4" i="16" s="1"/>
  <c r="K3" i="15"/>
  <c r="J3" i="15"/>
  <c r="K1" i="15"/>
  <c r="D4" i="15"/>
  <c r="C4" i="15"/>
  <c r="M3" i="15"/>
  <c r="L3" i="15"/>
  <c r="M1" i="15"/>
  <c r="H4" i="18" l="1"/>
  <c r="C5" i="18" s="1"/>
  <c r="H4" i="19"/>
  <c r="C5" i="19" s="1"/>
  <c r="E5" i="19" s="1"/>
  <c r="L4" i="16"/>
  <c r="K4" i="16"/>
  <c r="M4" i="16"/>
  <c r="F4" i="15"/>
  <c r="E4" i="15"/>
  <c r="K1" i="13"/>
  <c r="K3" i="13"/>
  <c r="J3" i="13"/>
  <c r="D4" i="13"/>
  <c r="C4" i="13"/>
  <c r="F5" i="18" l="1"/>
  <c r="E5" i="18"/>
  <c r="F5" i="19"/>
  <c r="I4" i="16"/>
  <c r="C5" i="16" s="1"/>
  <c r="J4" i="16"/>
  <c r="D5" i="16" s="1"/>
  <c r="G4" i="15"/>
  <c r="J4" i="15"/>
  <c r="L4" i="15"/>
  <c r="F4" i="13"/>
  <c r="J4" i="13" s="1"/>
  <c r="E4" i="13"/>
  <c r="J5" i="18" l="1"/>
  <c r="H5" i="18" s="1"/>
  <c r="C6" i="18" s="1"/>
  <c r="G5" i="18"/>
  <c r="K5" i="18" s="1"/>
  <c r="I5" i="18" s="1"/>
  <c r="D6" i="18" s="1"/>
  <c r="G5" i="19"/>
  <c r="K5" i="19" s="1"/>
  <c r="L5" i="19"/>
  <c r="H5" i="19" s="1"/>
  <c r="E5" i="16"/>
  <c r="F5" i="16" s="1"/>
  <c r="G5" i="16"/>
  <c r="H5" i="16" s="1"/>
  <c r="H4" i="15"/>
  <c r="C5" i="15" s="1"/>
  <c r="K4" i="15"/>
  <c r="M4" i="15"/>
  <c r="G4" i="13"/>
  <c r="H4" i="13"/>
  <c r="C5" i="13" s="1"/>
  <c r="M5" i="19" l="1"/>
  <c r="I5" i="19" s="1"/>
  <c r="D6" i="19" s="1"/>
  <c r="C6" i="19"/>
  <c r="F6" i="18"/>
  <c r="E6" i="18"/>
  <c r="M5" i="16"/>
  <c r="K5" i="16"/>
  <c r="L5" i="16"/>
  <c r="N5" i="16"/>
  <c r="I4" i="15"/>
  <c r="D5" i="15" s="1"/>
  <c r="F5" i="15" s="1"/>
  <c r="K4" i="13"/>
  <c r="I4" i="13"/>
  <c r="D5" i="13" s="1"/>
  <c r="F6" i="19" l="1"/>
  <c r="G6" i="19" s="1"/>
  <c r="E6" i="19"/>
  <c r="I5" i="16"/>
  <c r="C6" i="16" s="1"/>
  <c r="J5" i="16"/>
  <c r="D6" i="16" s="1"/>
  <c r="G6" i="18"/>
  <c r="J6" i="18"/>
  <c r="H6" i="18" s="1"/>
  <c r="E5" i="15"/>
  <c r="J5" i="15"/>
  <c r="L5" i="15"/>
  <c r="G5" i="15"/>
  <c r="F5" i="13"/>
  <c r="E5" i="13"/>
  <c r="D4" i="6"/>
  <c r="C4" i="6"/>
  <c r="G2" i="6"/>
  <c r="F2" i="6"/>
  <c r="J6" i="19" l="1"/>
  <c r="L6" i="19"/>
  <c r="C7" i="18"/>
  <c r="K6" i="18"/>
  <c r="I6" i="18" s="1"/>
  <c r="G6" i="16"/>
  <c r="E6" i="16"/>
  <c r="F6" i="16" s="1"/>
  <c r="H5" i="15"/>
  <c r="C6" i="15" s="1"/>
  <c r="K5" i="15"/>
  <c r="M5" i="15"/>
  <c r="J5" i="13"/>
  <c r="H5" i="13"/>
  <c r="C6" i="13" s="1"/>
  <c r="G5" i="13"/>
  <c r="E4" i="6"/>
  <c r="F4" i="6"/>
  <c r="C4" i="3"/>
  <c r="G2" i="2"/>
  <c r="D4" i="2"/>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6" i="1"/>
  <c r="C6" i="1" s="1"/>
  <c r="G4" i="3" l="1"/>
  <c r="E4" i="3"/>
  <c r="F4" i="3" s="1"/>
  <c r="I4" i="3"/>
  <c r="J4" i="3" s="1"/>
  <c r="H6" i="19"/>
  <c r="C7" i="19" s="1"/>
  <c r="K6" i="19"/>
  <c r="M6" i="19"/>
  <c r="D7" i="18"/>
  <c r="H6" i="16"/>
  <c r="M6" i="16"/>
  <c r="K6" i="16"/>
  <c r="I5" i="15"/>
  <c r="D6" i="15" s="1"/>
  <c r="F6" i="15" s="1"/>
  <c r="I5" i="13"/>
  <c r="D6" i="13" s="1"/>
  <c r="K5" i="13"/>
  <c r="G4" i="6"/>
  <c r="I4" i="6"/>
  <c r="C5" i="6" s="1"/>
  <c r="C4" i="2"/>
  <c r="F4" i="2" s="1"/>
  <c r="H4" i="3" l="1"/>
  <c r="K4" i="3"/>
  <c r="H4" i="2"/>
  <c r="I6" i="19"/>
  <c r="D7" i="19" s="1"/>
  <c r="I6" i="16"/>
  <c r="C7" i="16" s="1"/>
  <c r="E7" i="18"/>
  <c r="F7" i="18"/>
  <c r="N6" i="16"/>
  <c r="L6" i="16"/>
  <c r="E6" i="15"/>
  <c r="G6" i="15"/>
  <c r="L6" i="15"/>
  <c r="J6" i="15"/>
  <c r="F6" i="13"/>
  <c r="J6" i="13" s="1"/>
  <c r="E6" i="13"/>
  <c r="G4" i="2"/>
  <c r="I4" i="2" s="1"/>
  <c r="H4" i="6"/>
  <c r="D5" i="6" s="1"/>
  <c r="E5" i="6" s="1"/>
  <c r="E4" i="2"/>
  <c r="L4" i="3" l="1"/>
  <c r="N4" i="3"/>
  <c r="C5" i="3" s="1"/>
  <c r="G5" i="3" s="1"/>
  <c r="F7" i="19"/>
  <c r="E7" i="19"/>
  <c r="J6" i="16"/>
  <c r="D7" i="16" s="1"/>
  <c r="G7" i="18"/>
  <c r="J7" i="18"/>
  <c r="H7" i="18" s="1"/>
  <c r="H6" i="15"/>
  <c r="C7" i="15" s="1"/>
  <c r="M6" i="15"/>
  <c r="K6" i="15"/>
  <c r="H6" i="13"/>
  <c r="C7" i="13" s="1"/>
  <c r="G6" i="13"/>
  <c r="K6" i="13" s="1"/>
  <c r="M4" i="3"/>
  <c r="D5" i="2"/>
  <c r="F5" i="6"/>
  <c r="C5" i="2"/>
  <c r="I5" i="3" l="1"/>
  <c r="E5" i="3"/>
  <c r="F5" i="3" s="1"/>
  <c r="H5" i="3" s="1"/>
  <c r="J5" i="3"/>
  <c r="G7" i="19"/>
  <c r="L7" i="19"/>
  <c r="J7" i="19"/>
  <c r="E7" i="16"/>
  <c r="F7" i="16" s="1"/>
  <c r="K7" i="18"/>
  <c r="I7" i="18" s="1"/>
  <c r="C8" i="18"/>
  <c r="G7" i="16"/>
  <c r="I6" i="15"/>
  <c r="D7" i="15" s="1"/>
  <c r="I6" i="13"/>
  <c r="D7" i="13" s="1"/>
  <c r="G5" i="6"/>
  <c r="I5" i="6"/>
  <c r="C6" i="6" s="1"/>
  <c r="F5" i="2"/>
  <c r="E5" i="2"/>
  <c r="H5" i="2" l="1"/>
  <c r="H7" i="19"/>
  <c r="C8" i="19" s="1"/>
  <c r="M7" i="19"/>
  <c r="K7" i="19"/>
  <c r="D8" i="18"/>
  <c r="H7" i="16"/>
  <c r="M7" i="16"/>
  <c r="K7" i="16"/>
  <c r="F7" i="15"/>
  <c r="E7" i="15"/>
  <c r="F7" i="13"/>
  <c r="E7" i="13"/>
  <c r="C6" i="2"/>
  <c r="H5" i="6"/>
  <c r="D6" i="6" s="1"/>
  <c r="G5" i="2"/>
  <c r="I5" i="2" s="1"/>
  <c r="K5" i="3" l="1"/>
  <c r="I7" i="19"/>
  <c r="D8" i="19" s="1"/>
  <c r="E8" i="19" s="1"/>
  <c r="I7" i="16"/>
  <c r="C8" i="16" s="1"/>
  <c r="E8" i="18"/>
  <c r="F8" i="18"/>
  <c r="N7" i="16"/>
  <c r="L7" i="16"/>
  <c r="J7" i="15"/>
  <c r="L7" i="15"/>
  <c r="G7" i="15"/>
  <c r="J7" i="13"/>
  <c r="H7" i="13"/>
  <c r="C8" i="13" s="1"/>
  <c r="G7" i="13"/>
  <c r="D6" i="2"/>
  <c r="E6" i="6"/>
  <c r="F6" i="6"/>
  <c r="L5" i="3" l="1"/>
  <c r="N5" i="3"/>
  <c r="C6" i="3" s="1"/>
  <c r="M5" i="3"/>
  <c r="F8" i="19"/>
  <c r="J7" i="16"/>
  <c r="D8" i="16" s="1"/>
  <c r="G8" i="18"/>
  <c r="J8" i="18"/>
  <c r="H8" i="18" s="1"/>
  <c r="H7" i="15"/>
  <c r="C8" i="15" s="1"/>
  <c r="M7" i="15"/>
  <c r="K7" i="15"/>
  <c r="K7" i="13"/>
  <c r="I7" i="13"/>
  <c r="D8" i="13" s="1"/>
  <c r="G6" i="6"/>
  <c r="I6" i="6"/>
  <c r="C7" i="6" s="1"/>
  <c r="E6" i="2"/>
  <c r="F6" i="2"/>
  <c r="E6" i="3" l="1"/>
  <c r="F6" i="3" s="1"/>
  <c r="I6" i="3"/>
  <c r="G6" i="3"/>
  <c r="H6" i="3" s="1"/>
  <c r="H6" i="2"/>
  <c r="E8" i="13"/>
  <c r="F8" i="13"/>
  <c r="G8" i="19"/>
  <c r="J8" i="19"/>
  <c r="L8" i="19"/>
  <c r="C9" i="18"/>
  <c r="K8" i="18"/>
  <c r="I8" i="18" s="1"/>
  <c r="G8" i="16"/>
  <c r="E8" i="16"/>
  <c r="F8" i="16" s="1"/>
  <c r="I7" i="15"/>
  <c r="D8" i="15" s="1"/>
  <c r="E8" i="15" s="1"/>
  <c r="C7" i="2"/>
  <c r="H6" i="6"/>
  <c r="D7" i="6" s="1"/>
  <c r="G6" i="2"/>
  <c r="I6" i="2" s="1"/>
  <c r="J6" i="3" l="1"/>
  <c r="H8" i="19"/>
  <c r="C9" i="19" s="1"/>
  <c r="M8" i="19"/>
  <c r="K8" i="19"/>
  <c r="D9" i="18"/>
  <c r="H8" i="16"/>
  <c r="M8" i="16"/>
  <c r="K8" i="16"/>
  <c r="F8" i="15"/>
  <c r="J8" i="13"/>
  <c r="H8" i="13"/>
  <c r="C9" i="13" s="1"/>
  <c r="G8" i="13"/>
  <c r="D7" i="2"/>
  <c r="E7" i="6"/>
  <c r="F7" i="6"/>
  <c r="K6" i="3" l="1"/>
  <c r="I8" i="19"/>
  <c r="D9" i="19" s="1"/>
  <c r="I8" i="16"/>
  <c r="C9" i="16" s="1"/>
  <c r="E9" i="18"/>
  <c r="F9" i="18"/>
  <c r="N8" i="16"/>
  <c r="L8" i="16"/>
  <c r="L8" i="15"/>
  <c r="J8" i="15"/>
  <c r="G8" i="15"/>
  <c r="K8" i="13"/>
  <c r="I8" i="13"/>
  <c r="D9" i="13" s="1"/>
  <c r="G7" i="6"/>
  <c r="I7" i="6"/>
  <c r="C8" i="6" s="1"/>
  <c r="E7" i="2"/>
  <c r="F7" i="2"/>
  <c r="L6" i="3" l="1"/>
  <c r="N6" i="3"/>
  <c r="C7" i="3" s="1"/>
  <c r="H7" i="2"/>
  <c r="F9" i="19"/>
  <c r="E9" i="19"/>
  <c r="J8" i="16"/>
  <c r="D9" i="16" s="1"/>
  <c r="G9" i="18"/>
  <c r="J9" i="18"/>
  <c r="H9" i="18" s="1"/>
  <c r="H8" i="15"/>
  <c r="C9" i="15" s="1"/>
  <c r="K8" i="15"/>
  <c r="M8" i="15"/>
  <c r="F9" i="13"/>
  <c r="E9" i="13"/>
  <c r="C8" i="2"/>
  <c r="H7" i="6"/>
  <c r="D8" i="6" s="1"/>
  <c r="G7" i="2"/>
  <c r="I7" i="2" s="1"/>
  <c r="E7" i="3" l="1"/>
  <c r="F7" i="3" s="1"/>
  <c r="G7" i="3"/>
  <c r="I7" i="3"/>
  <c r="J7" i="3" s="1"/>
  <c r="M6" i="3"/>
  <c r="G9" i="19"/>
  <c r="L9" i="19"/>
  <c r="J9" i="19"/>
  <c r="E9" i="16"/>
  <c r="F9" i="16" s="1"/>
  <c r="C10" i="18"/>
  <c r="K9" i="18"/>
  <c r="I9" i="18" s="1"/>
  <c r="G9" i="16"/>
  <c r="I8" i="15"/>
  <c r="D9" i="15" s="1"/>
  <c r="F9" i="15" s="1"/>
  <c r="J9" i="13"/>
  <c r="G9" i="13"/>
  <c r="H9" i="13"/>
  <c r="C10" i="13" s="1"/>
  <c r="D8" i="2"/>
  <c r="E8" i="6"/>
  <c r="F8" i="6"/>
  <c r="H7" i="3" l="1"/>
  <c r="H9" i="19"/>
  <c r="C10" i="19" s="1"/>
  <c r="M9" i="19"/>
  <c r="K9" i="19"/>
  <c r="D10" i="18"/>
  <c r="H9" i="16"/>
  <c r="K9" i="16"/>
  <c r="M9" i="16"/>
  <c r="G9" i="15"/>
  <c r="L9" i="15"/>
  <c r="J9" i="15"/>
  <c r="E9" i="15"/>
  <c r="K9" i="13"/>
  <c r="I9" i="13"/>
  <c r="D10" i="13" s="1"/>
  <c r="E8" i="2"/>
  <c r="G8" i="6"/>
  <c r="I8" i="6"/>
  <c r="C9" i="6" s="1"/>
  <c r="F8" i="2"/>
  <c r="K7" i="3" l="1"/>
  <c r="H8" i="2"/>
  <c r="I9" i="19"/>
  <c r="D10" i="19" s="1"/>
  <c r="E10" i="19" s="1"/>
  <c r="I9" i="16"/>
  <c r="C10" i="16" s="1"/>
  <c r="E10" i="18"/>
  <c r="F10" i="18"/>
  <c r="L9" i="16"/>
  <c r="N9" i="16"/>
  <c r="K9" i="15"/>
  <c r="M9" i="15"/>
  <c r="H9" i="15"/>
  <c r="C10" i="15" s="1"/>
  <c r="E10" i="13"/>
  <c r="F10" i="13"/>
  <c r="C9" i="2"/>
  <c r="H8" i="6"/>
  <c r="D9" i="6" s="1"/>
  <c r="G8" i="2"/>
  <c r="I8" i="2" s="1"/>
  <c r="L7" i="3" l="1"/>
  <c r="N7" i="3"/>
  <c r="C8" i="3" s="1"/>
  <c r="M7" i="3"/>
  <c r="F10" i="19"/>
  <c r="J9" i="16"/>
  <c r="D10" i="16" s="1"/>
  <c r="G10" i="18"/>
  <c r="J10" i="18"/>
  <c r="H10" i="18" s="1"/>
  <c r="I9" i="15"/>
  <c r="D10" i="15" s="1"/>
  <c r="F10" i="15" s="1"/>
  <c r="J10" i="13"/>
  <c r="G10" i="13"/>
  <c r="H10" i="13"/>
  <c r="C11" i="13" s="1"/>
  <c r="D9" i="2"/>
  <c r="F9" i="6"/>
  <c r="E9" i="6"/>
  <c r="E8" i="3" l="1"/>
  <c r="F8" i="3" s="1"/>
  <c r="G8" i="3"/>
  <c r="H8" i="3" s="1"/>
  <c r="I8" i="3"/>
  <c r="J8" i="3" s="1"/>
  <c r="K8" i="3"/>
  <c r="L8" i="3" s="1"/>
  <c r="G10" i="19"/>
  <c r="J10" i="19"/>
  <c r="L10" i="19"/>
  <c r="C11" i="18"/>
  <c r="K10" i="18"/>
  <c r="I10" i="18" s="1"/>
  <c r="G10" i="16"/>
  <c r="E10" i="16"/>
  <c r="F10" i="16" s="1"/>
  <c r="E10" i="15"/>
  <c r="J10" i="15"/>
  <c r="G10" i="15"/>
  <c r="L10" i="15"/>
  <c r="K10" i="13"/>
  <c r="I10" i="13"/>
  <c r="D11" i="13" s="1"/>
  <c r="E9" i="2"/>
  <c r="G9" i="6"/>
  <c r="H9" i="6" s="1"/>
  <c r="D10" i="6" s="1"/>
  <c r="I9" i="6"/>
  <c r="C10" i="6" s="1"/>
  <c r="F9" i="2"/>
  <c r="H9" i="2" s="1"/>
  <c r="N8" i="3" l="1"/>
  <c r="H10" i="19"/>
  <c r="C11" i="19" s="1"/>
  <c r="M10" i="19"/>
  <c r="K10" i="19"/>
  <c r="D11" i="18"/>
  <c r="H10" i="16"/>
  <c r="M10" i="16"/>
  <c r="K10" i="16"/>
  <c r="K10" i="15"/>
  <c r="H10" i="15"/>
  <c r="C11" i="15" s="1"/>
  <c r="M10" i="15"/>
  <c r="F11" i="13"/>
  <c r="E11" i="13"/>
  <c r="C10" i="2"/>
  <c r="E10" i="6"/>
  <c r="F10" i="6"/>
  <c r="G10" i="6" s="1"/>
  <c r="H10" i="6" s="1"/>
  <c r="D11" i="6" s="1"/>
  <c r="G9" i="2"/>
  <c r="I9" i="2" s="1"/>
  <c r="C9" i="3" l="1"/>
  <c r="M8" i="3"/>
  <c r="I10" i="19"/>
  <c r="D11" i="19" s="1"/>
  <c r="E11" i="19" s="1"/>
  <c r="I10" i="16"/>
  <c r="C11" i="16" s="1"/>
  <c r="E11" i="18"/>
  <c r="F11" i="18"/>
  <c r="N10" i="16"/>
  <c r="L10" i="16"/>
  <c r="I10" i="15"/>
  <c r="D11" i="15" s="1"/>
  <c r="E11" i="15" s="1"/>
  <c r="J11" i="13"/>
  <c r="G11" i="13"/>
  <c r="H11" i="13"/>
  <c r="C12" i="13" s="1"/>
  <c r="D10" i="2"/>
  <c r="I10" i="6"/>
  <c r="C11" i="6" s="1"/>
  <c r="E9" i="3" l="1"/>
  <c r="F9" i="3" s="1"/>
  <c r="I9" i="3"/>
  <c r="N9" i="3"/>
  <c r="G9" i="3"/>
  <c r="H9" i="3" s="1"/>
  <c r="K9" i="3"/>
  <c r="L9" i="3" s="1"/>
  <c r="F11" i="19"/>
  <c r="J10" i="16"/>
  <c r="D11" i="16" s="1"/>
  <c r="G11" i="18"/>
  <c r="J11" i="18"/>
  <c r="H11" i="18" s="1"/>
  <c r="F11" i="15"/>
  <c r="K11" i="13"/>
  <c r="I11" i="13"/>
  <c r="D12" i="13" s="1"/>
  <c r="E10" i="2"/>
  <c r="E11" i="6"/>
  <c r="F11" i="6"/>
  <c r="G11" i="6" s="1"/>
  <c r="H11" i="6" s="1"/>
  <c r="D12" i="6" s="1"/>
  <c r="F10" i="2"/>
  <c r="H10" i="2" s="1"/>
  <c r="J9" i="3" l="1"/>
  <c r="C10" i="3"/>
  <c r="M9" i="3"/>
  <c r="G11" i="19"/>
  <c r="L11" i="19"/>
  <c r="J11" i="19"/>
  <c r="E11" i="16"/>
  <c r="F11" i="16" s="1"/>
  <c r="C12" i="18"/>
  <c r="K11" i="18"/>
  <c r="I11" i="18" s="1"/>
  <c r="G11" i="16"/>
  <c r="G11" i="15"/>
  <c r="L11" i="15"/>
  <c r="J11" i="15"/>
  <c r="E12" i="13"/>
  <c r="F12" i="13"/>
  <c r="C11" i="2"/>
  <c r="I11" i="6"/>
  <c r="C12" i="6" s="1"/>
  <c r="G10" i="2"/>
  <c r="I10" i="2" s="1"/>
  <c r="E10" i="3" l="1"/>
  <c r="F10" i="3" s="1"/>
  <c r="I10" i="3"/>
  <c r="G10" i="3"/>
  <c r="H11" i="19"/>
  <c r="C12" i="19" s="1"/>
  <c r="M11" i="19"/>
  <c r="K11" i="19"/>
  <c r="D12" i="18"/>
  <c r="H11" i="16"/>
  <c r="K11" i="16"/>
  <c r="M11" i="16"/>
  <c r="K11" i="15"/>
  <c r="M11" i="15"/>
  <c r="H11" i="15"/>
  <c r="C12" i="15" s="1"/>
  <c r="J12" i="13"/>
  <c r="H12" i="13"/>
  <c r="C13" i="13" s="1"/>
  <c r="G12" i="13"/>
  <c r="D11" i="2"/>
  <c r="E12" i="6"/>
  <c r="F12" i="6"/>
  <c r="G12" i="6" s="1"/>
  <c r="H12" i="6" s="1"/>
  <c r="D13" i="6" s="1"/>
  <c r="H10" i="3" l="1"/>
  <c r="J10" i="3"/>
  <c r="K10" i="3"/>
  <c r="I11" i="19"/>
  <c r="D12" i="19" s="1"/>
  <c r="I11" i="16"/>
  <c r="C12" i="16" s="1"/>
  <c r="E12" i="18"/>
  <c r="F12" i="18"/>
  <c r="L11" i="16"/>
  <c r="N11" i="16"/>
  <c r="I11" i="15"/>
  <c r="D12" i="15" s="1"/>
  <c r="E12" i="15" s="1"/>
  <c r="K12" i="13"/>
  <c r="I12" i="13"/>
  <c r="D13" i="13" s="1"/>
  <c r="E13" i="13" s="1"/>
  <c r="E11" i="2"/>
  <c r="I12" i="6"/>
  <c r="C13" i="6" s="1"/>
  <c r="F11" i="2"/>
  <c r="H11" i="2" s="1"/>
  <c r="L10" i="3" l="1"/>
  <c r="N10" i="3"/>
  <c r="F12" i="19"/>
  <c r="E12" i="19"/>
  <c r="J11" i="16"/>
  <c r="D12" i="16" s="1"/>
  <c r="G12" i="18"/>
  <c r="J12" i="18"/>
  <c r="H12" i="18" s="1"/>
  <c r="F12" i="15"/>
  <c r="F13" i="13"/>
  <c r="C12" i="2"/>
  <c r="E13" i="6"/>
  <c r="F13" i="6"/>
  <c r="G13" i="6" s="1"/>
  <c r="H13" i="6" s="1"/>
  <c r="D14" i="6" s="1"/>
  <c r="G11" i="2"/>
  <c r="I11" i="2" s="1"/>
  <c r="M10" i="3" l="1"/>
  <c r="C11" i="3"/>
  <c r="G12" i="19"/>
  <c r="J12" i="19"/>
  <c r="L12" i="19"/>
  <c r="E12" i="16"/>
  <c r="F12" i="16" s="1"/>
  <c r="C13" i="18"/>
  <c r="K12" i="18"/>
  <c r="I12" i="18" s="1"/>
  <c r="G12" i="16"/>
  <c r="L12" i="15"/>
  <c r="G12" i="15"/>
  <c r="J12" i="15"/>
  <c r="J13" i="13"/>
  <c r="G13" i="13"/>
  <c r="H13" i="13"/>
  <c r="C14" i="13" s="1"/>
  <c r="D12" i="2"/>
  <c r="I13" i="6"/>
  <c r="C14" i="6" s="1"/>
  <c r="E11" i="3" l="1"/>
  <c r="F11" i="3" s="1"/>
  <c r="G11" i="3"/>
  <c r="H11" i="3" s="1"/>
  <c r="I11" i="3"/>
  <c r="J11" i="3" s="1"/>
  <c r="H12" i="19"/>
  <c r="C13" i="19" s="1"/>
  <c r="K12" i="19"/>
  <c r="M12" i="19"/>
  <c r="D13" i="18"/>
  <c r="H12" i="16"/>
  <c r="K12" i="16"/>
  <c r="M12" i="16"/>
  <c r="H12" i="15"/>
  <c r="C13" i="15" s="1"/>
  <c r="K12" i="15"/>
  <c r="M12" i="15"/>
  <c r="K13" i="13"/>
  <c r="I13" i="13"/>
  <c r="D14" i="13" s="1"/>
  <c r="E12" i="2"/>
  <c r="E14" i="6"/>
  <c r="F14" i="6"/>
  <c r="G14" i="6" s="1"/>
  <c r="H14" i="6" s="1"/>
  <c r="D15" i="6" s="1"/>
  <c r="F12" i="2"/>
  <c r="H12" i="2" s="1"/>
  <c r="K11" i="3" l="1"/>
  <c r="I12" i="19"/>
  <c r="D13" i="19" s="1"/>
  <c r="I12" i="16"/>
  <c r="C13" i="16" s="1"/>
  <c r="F13" i="18"/>
  <c r="E13" i="18"/>
  <c r="N12" i="16"/>
  <c r="L12" i="16"/>
  <c r="I12" i="15"/>
  <c r="D13" i="15" s="1"/>
  <c r="F13" i="15" s="1"/>
  <c r="F14" i="13"/>
  <c r="E14" i="13"/>
  <c r="C13" i="2"/>
  <c r="I14" i="6"/>
  <c r="C15" i="6" s="1"/>
  <c r="G12" i="2"/>
  <c r="I12" i="2" s="1"/>
  <c r="L11" i="3" l="1"/>
  <c r="N11" i="3"/>
  <c r="F13" i="19"/>
  <c r="E13" i="19"/>
  <c r="J12" i="16"/>
  <c r="D13" i="16" s="1"/>
  <c r="G13" i="18"/>
  <c r="J13" i="18"/>
  <c r="H13" i="18" s="1"/>
  <c r="E13" i="15"/>
  <c r="J13" i="15"/>
  <c r="L13" i="15"/>
  <c r="G13" i="15"/>
  <c r="J14" i="13"/>
  <c r="G14" i="13"/>
  <c r="H14" i="13"/>
  <c r="C15" i="13" s="1"/>
  <c r="D13" i="2"/>
  <c r="F15" i="6"/>
  <c r="G15" i="6" s="1"/>
  <c r="H15" i="6" s="1"/>
  <c r="D16" i="6" s="1"/>
  <c r="E15" i="6"/>
  <c r="M11" i="3" l="1"/>
  <c r="C12" i="3"/>
  <c r="G13" i="19"/>
  <c r="L13" i="19"/>
  <c r="J13" i="19"/>
  <c r="K13" i="18"/>
  <c r="I13" i="18" s="1"/>
  <c r="C14" i="18"/>
  <c r="G13" i="16"/>
  <c r="E13" i="16"/>
  <c r="F13" i="16" s="1"/>
  <c r="H13" i="15"/>
  <c r="C14" i="15" s="1"/>
  <c r="K13" i="15"/>
  <c r="M13" i="15"/>
  <c r="K14" i="13"/>
  <c r="I14" i="13"/>
  <c r="D15" i="13" s="1"/>
  <c r="E15" i="13" s="1"/>
  <c r="E13" i="2"/>
  <c r="I15" i="6"/>
  <c r="C16" i="6" s="1"/>
  <c r="F13" i="2"/>
  <c r="H13" i="2" s="1"/>
  <c r="E12" i="3" l="1"/>
  <c r="F12" i="3" s="1"/>
  <c r="G12" i="3"/>
  <c r="I12" i="3"/>
  <c r="J12" i="3" s="1"/>
  <c r="H13" i="19"/>
  <c r="C14" i="19" s="1"/>
  <c r="M13" i="19"/>
  <c r="K13" i="19"/>
  <c r="D14" i="18"/>
  <c r="H13" i="16"/>
  <c r="M13" i="16"/>
  <c r="K13" i="16"/>
  <c r="I13" i="15"/>
  <c r="D14" i="15" s="1"/>
  <c r="E14" i="15" s="1"/>
  <c r="F15" i="13"/>
  <c r="C14" i="2"/>
  <c r="F16" i="6"/>
  <c r="G16" i="6" s="1"/>
  <c r="H16" i="6" s="1"/>
  <c r="D17" i="6" s="1"/>
  <c r="E16" i="6"/>
  <c r="G13" i="2"/>
  <c r="I13" i="2" s="1"/>
  <c r="H12" i="3" l="1"/>
  <c r="K12" i="3"/>
  <c r="I13" i="19"/>
  <c r="D14" i="19" s="1"/>
  <c r="I13" i="16"/>
  <c r="C14" i="16" s="1"/>
  <c r="F14" i="18"/>
  <c r="E14" i="18"/>
  <c r="N13" i="16"/>
  <c r="L13" i="16"/>
  <c r="F14" i="15"/>
  <c r="L14" i="15" s="1"/>
  <c r="J15" i="13"/>
  <c r="H15" i="13"/>
  <c r="C16" i="13" s="1"/>
  <c r="G15" i="13"/>
  <c r="D14" i="2"/>
  <c r="I16" i="6"/>
  <c r="C17" i="6" s="1"/>
  <c r="E17" i="6" s="1"/>
  <c r="L12" i="3" l="1"/>
  <c r="N12" i="3"/>
  <c r="F14" i="19"/>
  <c r="E14" i="19"/>
  <c r="J13" i="16"/>
  <c r="D14" i="16" s="1"/>
  <c r="G14" i="18"/>
  <c r="J14" i="18"/>
  <c r="H14" i="18" s="1"/>
  <c r="J14" i="15"/>
  <c r="H14" i="15" s="1"/>
  <c r="C15" i="15" s="1"/>
  <c r="G14" i="15"/>
  <c r="K15" i="13"/>
  <c r="I15" i="13"/>
  <c r="D16" i="13" s="1"/>
  <c r="E14" i="2"/>
  <c r="F17" i="6"/>
  <c r="G17" i="6" s="1"/>
  <c r="H17" i="6" s="1"/>
  <c r="D18" i="6" s="1"/>
  <c r="F14" i="2"/>
  <c r="H14" i="2" s="1"/>
  <c r="M12" i="3" l="1"/>
  <c r="C13" i="3"/>
  <c r="G14" i="19"/>
  <c r="J14" i="19"/>
  <c r="L14" i="19"/>
  <c r="C15" i="18"/>
  <c r="K14" i="18"/>
  <c r="I14" i="18" s="1"/>
  <c r="G14" i="16"/>
  <c r="E14" i="16"/>
  <c r="F14" i="16" s="1"/>
  <c r="M14" i="15"/>
  <c r="K14" i="15"/>
  <c r="F16" i="13"/>
  <c r="E16" i="13"/>
  <c r="C15" i="2"/>
  <c r="I17" i="6"/>
  <c r="C18" i="6" s="1"/>
  <c r="G14" i="2"/>
  <c r="I14" i="2" s="1"/>
  <c r="E13" i="3" l="1"/>
  <c r="F13" i="3" s="1"/>
  <c r="I13" i="3"/>
  <c r="J13" i="3" s="1"/>
  <c r="G13" i="3"/>
  <c r="H13" i="3" s="1"/>
  <c r="H14" i="19"/>
  <c r="C15" i="19" s="1"/>
  <c r="M14" i="19"/>
  <c r="K14" i="19"/>
  <c r="D15" i="18"/>
  <c r="H14" i="16"/>
  <c r="M14" i="16"/>
  <c r="K14" i="16"/>
  <c r="I14" i="15"/>
  <c r="D15" i="15" s="1"/>
  <c r="F15" i="15" s="1"/>
  <c r="J16" i="13"/>
  <c r="G16" i="13"/>
  <c r="H16" i="13"/>
  <c r="C17" i="13" s="1"/>
  <c r="D15" i="2"/>
  <c r="F18" i="6"/>
  <c r="G18" i="6" s="1"/>
  <c r="H18" i="6" s="1"/>
  <c r="D19" i="6" s="1"/>
  <c r="E18" i="6"/>
  <c r="K13" i="3" l="1"/>
  <c r="I14" i="19"/>
  <c r="D15" i="19" s="1"/>
  <c r="E15" i="19" s="1"/>
  <c r="I14" i="16"/>
  <c r="C15" i="16" s="1"/>
  <c r="E15" i="18"/>
  <c r="F15" i="18"/>
  <c r="N14" i="16"/>
  <c r="L14" i="16"/>
  <c r="E15" i="15"/>
  <c r="J15" i="15"/>
  <c r="L15" i="15"/>
  <c r="G15" i="15"/>
  <c r="K16" i="13"/>
  <c r="I16" i="13"/>
  <c r="D17" i="13" s="1"/>
  <c r="E15" i="2"/>
  <c r="F15" i="2"/>
  <c r="H15" i="2" s="1"/>
  <c r="I18" i="6"/>
  <c r="C19" i="6" s="1"/>
  <c r="E19" i="6" s="1"/>
  <c r="L13" i="3" l="1"/>
  <c r="N13" i="3"/>
  <c r="F15" i="19"/>
  <c r="J14" i="16"/>
  <c r="D15" i="16" s="1"/>
  <c r="G15" i="18"/>
  <c r="J15" i="18"/>
  <c r="H15" i="18" s="1"/>
  <c r="H15" i="15"/>
  <c r="C16" i="15" s="1"/>
  <c r="M15" i="15"/>
  <c r="K15" i="15"/>
  <c r="F17" i="13"/>
  <c r="E17" i="13"/>
  <c r="C16" i="2"/>
  <c r="G15" i="2"/>
  <c r="I15" i="2" s="1"/>
  <c r="F19" i="6"/>
  <c r="G19" i="6" s="1"/>
  <c r="H19" i="6" s="1"/>
  <c r="D20" i="6" s="1"/>
  <c r="M13" i="3" l="1"/>
  <c r="C14" i="3"/>
  <c r="G15" i="19"/>
  <c r="L15" i="19"/>
  <c r="J15" i="19"/>
  <c r="E15" i="16"/>
  <c r="F15" i="16" s="1"/>
  <c r="C16" i="18"/>
  <c r="K15" i="18"/>
  <c r="I15" i="18" s="1"/>
  <c r="G15" i="16"/>
  <c r="I15" i="15"/>
  <c r="D16" i="15" s="1"/>
  <c r="J17" i="13"/>
  <c r="G17" i="13"/>
  <c r="H17" i="13"/>
  <c r="C18" i="13" s="1"/>
  <c r="D16" i="2"/>
  <c r="I19" i="6"/>
  <c r="C20" i="6" s="1"/>
  <c r="F20" i="6" s="1"/>
  <c r="G20" i="6" s="1"/>
  <c r="H20" i="6" s="1"/>
  <c r="D21" i="6" s="1"/>
  <c r="E14" i="3" l="1"/>
  <c r="F14" i="3" s="1"/>
  <c r="I14" i="3"/>
  <c r="G14" i="3"/>
  <c r="H14" i="3" s="1"/>
  <c r="H15" i="19"/>
  <c r="C16" i="19" s="1"/>
  <c r="M15" i="19"/>
  <c r="K15" i="19"/>
  <c r="D16" i="18"/>
  <c r="H15" i="16"/>
  <c r="M15" i="16"/>
  <c r="K15" i="16"/>
  <c r="E16" i="15"/>
  <c r="F16" i="15"/>
  <c r="K17" i="13"/>
  <c r="I17" i="13"/>
  <c r="D18" i="13" s="1"/>
  <c r="E16" i="2"/>
  <c r="F16" i="2"/>
  <c r="H16" i="2" s="1"/>
  <c r="E20" i="6"/>
  <c r="I20" i="6"/>
  <c r="C21" i="6" s="1"/>
  <c r="J14" i="3" l="1"/>
  <c r="K14" i="3"/>
  <c r="I15" i="19"/>
  <c r="D16" i="19" s="1"/>
  <c r="I15" i="16"/>
  <c r="C16" i="16" s="1"/>
  <c r="E16" i="18"/>
  <c r="F16" i="18"/>
  <c r="L15" i="16"/>
  <c r="N15" i="16"/>
  <c r="L16" i="15"/>
  <c r="G16" i="15"/>
  <c r="J16" i="15"/>
  <c r="F18" i="13"/>
  <c r="E18" i="13"/>
  <c r="C17" i="2"/>
  <c r="G16" i="2"/>
  <c r="I16" i="2" s="1"/>
  <c r="E21" i="6"/>
  <c r="F21" i="6"/>
  <c r="G21" i="6" s="1"/>
  <c r="H21" i="6" s="1"/>
  <c r="D22" i="6" s="1"/>
  <c r="L14" i="3" l="1"/>
  <c r="N14" i="3"/>
  <c r="M14" i="3"/>
  <c r="C15" i="3"/>
  <c r="F16" i="19"/>
  <c r="E16" i="19"/>
  <c r="J15" i="16"/>
  <c r="D16" i="16" s="1"/>
  <c r="G16" i="18"/>
  <c r="J16" i="18"/>
  <c r="H16" i="18" s="1"/>
  <c r="H16" i="15"/>
  <c r="C17" i="15" s="1"/>
  <c r="M16" i="15"/>
  <c r="K16" i="15"/>
  <c r="J18" i="13"/>
  <c r="G18" i="13"/>
  <c r="H18" i="13"/>
  <c r="C19" i="13" s="1"/>
  <c r="D17" i="2"/>
  <c r="I21" i="6"/>
  <c r="C22" i="6" s="1"/>
  <c r="F22" i="6" s="1"/>
  <c r="G22" i="6" s="1"/>
  <c r="H22" i="6" s="1"/>
  <c r="D23" i="6" s="1"/>
  <c r="E15" i="3" l="1"/>
  <c r="F15" i="3" s="1"/>
  <c r="G15" i="3"/>
  <c r="I15" i="3"/>
  <c r="J15" i="3" s="1"/>
  <c r="G16" i="19"/>
  <c r="J16" i="19"/>
  <c r="L16" i="19"/>
  <c r="E16" i="16"/>
  <c r="F16" i="16" s="1"/>
  <c r="C17" i="18"/>
  <c r="K16" i="18"/>
  <c r="I16" i="18" s="1"/>
  <c r="G16" i="16"/>
  <c r="I16" i="15"/>
  <c r="D17" i="15" s="1"/>
  <c r="F17" i="15" s="1"/>
  <c r="J17" i="15" s="1"/>
  <c r="K18" i="13"/>
  <c r="I18" i="13"/>
  <c r="D19" i="13" s="1"/>
  <c r="E17" i="2"/>
  <c r="F17" i="2"/>
  <c r="H17" i="2" s="1"/>
  <c r="E22" i="6"/>
  <c r="I22" i="6"/>
  <c r="C23" i="6" s="1"/>
  <c r="E23" i="6" s="1"/>
  <c r="H15" i="3" l="1"/>
  <c r="K15" i="3"/>
  <c r="H16" i="19"/>
  <c r="C17" i="19" s="1"/>
  <c r="M16" i="19"/>
  <c r="K16" i="19"/>
  <c r="D17" i="18"/>
  <c r="H16" i="16"/>
  <c r="M16" i="16"/>
  <c r="K16" i="16"/>
  <c r="G17" i="15"/>
  <c r="K17" i="15" s="1"/>
  <c r="E17" i="15"/>
  <c r="L17" i="15"/>
  <c r="H17" i="15" s="1"/>
  <c r="C18" i="15" s="1"/>
  <c r="E19" i="13"/>
  <c r="F19" i="13"/>
  <c r="C18" i="2"/>
  <c r="G17" i="2"/>
  <c r="I17" i="2" s="1"/>
  <c r="F23" i="6"/>
  <c r="G23" i="6" s="1"/>
  <c r="H23" i="6" s="1"/>
  <c r="D24" i="6" s="1"/>
  <c r="L15" i="3" l="1"/>
  <c r="N15" i="3"/>
  <c r="I16" i="19"/>
  <c r="D17" i="19" s="1"/>
  <c r="I16" i="16"/>
  <c r="C17" i="16" s="1"/>
  <c r="F17" i="18"/>
  <c r="E17" i="18"/>
  <c r="N16" i="16"/>
  <c r="L16" i="16"/>
  <c r="M17" i="15"/>
  <c r="I17" i="15" s="1"/>
  <c r="D18" i="15" s="1"/>
  <c r="J19" i="13"/>
  <c r="H19" i="13"/>
  <c r="C20" i="13" s="1"/>
  <c r="G19" i="13"/>
  <c r="D18" i="2"/>
  <c r="I23" i="6"/>
  <c r="C24" i="6" s="1"/>
  <c r="F24" i="6" s="1"/>
  <c r="G24" i="6" s="1"/>
  <c r="H24" i="6" s="1"/>
  <c r="D25" i="6" s="1"/>
  <c r="M15" i="3" l="1"/>
  <c r="C16" i="3"/>
  <c r="F17" i="19"/>
  <c r="E17" i="19"/>
  <c r="J16" i="16"/>
  <c r="D17" i="16" s="1"/>
  <c r="G17" i="18"/>
  <c r="J17" i="18"/>
  <c r="H17" i="18" s="1"/>
  <c r="F18" i="15"/>
  <c r="E18" i="15"/>
  <c r="K19" i="13"/>
  <c r="I19" i="13"/>
  <c r="D20" i="13" s="1"/>
  <c r="E18" i="2"/>
  <c r="F18" i="2"/>
  <c r="I24" i="6"/>
  <c r="C25" i="6" s="1"/>
  <c r="E25" i="6" s="1"/>
  <c r="E24" i="6"/>
  <c r="E16" i="3" l="1"/>
  <c r="F16" i="3" s="1"/>
  <c r="G16" i="3"/>
  <c r="H16" i="3" s="1"/>
  <c r="I16" i="3"/>
  <c r="J16" i="3" s="1"/>
  <c r="G17" i="19"/>
  <c r="L17" i="19"/>
  <c r="J17" i="19"/>
  <c r="C18" i="18"/>
  <c r="K17" i="18"/>
  <c r="I17" i="18" s="1"/>
  <c r="G17" i="16"/>
  <c r="E17" i="16"/>
  <c r="F17" i="16" s="1"/>
  <c r="J18" i="15"/>
  <c r="G18" i="15"/>
  <c r="L18" i="15"/>
  <c r="E20" i="13"/>
  <c r="F20" i="13"/>
  <c r="G18" i="2"/>
  <c r="I18" i="2" s="1"/>
  <c r="D19" i="2" s="1"/>
  <c r="H18" i="2"/>
  <c r="C19" i="2" s="1"/>
  <c r="F25" i="6"/>
  <c r="G25" i="6" s="1"/>
  <c r="H25" i="6" s="1"/>
  <c r="D26" i="6" s="1"/>
  <c r="K16" i="3" l="1"/>
  <c r="H17" i="19"/>
  <c r="C18" i="19" s="1"/>
  <c r="K17" i="19"/>
  <c r="M17" i="19"/>
  <c r="D18" i="18"/>
  <c r="H17" i="16"/>
  <c r="M17" i="16"/>
  <c r="K17" i="16"/>
  <c r="M18" i="15"/>
  <c r="K18" i="15"/>
  <c r="H18" i="15"/>
  <c r="C19" i="15" s="1"/>
  <c r="J20" i="13"/>
  <c r="H20" i="13"/>
  <c r="C21" i="13" s="1"/>
  <c r="G20" i="13"/>
  <c r="E19" i="2"/>
  <c r="I25" i="6"/>
  <c r="C26" i="6" s="1"/>
  <c r="F19" i="2"/>
  <c r="H19" i="2" s="1"/>
  <c r="L16" i="3" l="1"/>
  <c r="N16" i="3"/>
  <c r="I17" i="19"/>
  <c r="D18" i="19" s="1"/>
  <c r="E18" i="19" s="1"/>
  <c r="I17" i="16"/>
  <c r="C18" i="16" s="1"/>
  <c r="F18" i="18"/>
  <c r="E18" i="18"/>
  <c r="N17" i="16"/>
  <c r="L17" i="16"/>
  <c r="I18" i="15"/>
  <c r="D19" i="15" s="1"/>
  <c r="F19" i="15" s="1"/>
  <c r="K20" i="13"/>
  <c r="I20" i="13"/>
  <c r="D21" i="13" s="1"/>
  <c r="C20" i="2"/>
  <c r="E26" i="6"/>
  <c r="F26" i="6"/>
  <c r="G26" i="6" s="1"/>
  <c r="H26" i="6" s="1"/>
  <c r="D27" i="6" s="1"/>
  <c r="G19" i="2"/>
  <c r="I19" i="2" s="1"/>
  <c r="M16" i="3" l="1"/>
  <c r="C17" i="3"/>
  <c r="F18" i="19"/>
  <c r="J17" i="16"/>
  <c r="D18" i="16" s="1"/>
  <c r="G18" i="18"/>
  <c r="J18" i="18"/>
  <c r="H18" i="18" s="1"/>
  <c r="E19" i="15"/>
  <c r="G19" i="15"/>
  <c r="J19" i="15"/>
  <c r="L19" i="15"/>
  <c r="E21" i="13"/>
  <c r="F21" i="13"/>
  <c r="D20" i="2"/>
  <c r="I26" i="6"/>
  <c r="C27" i="6" s="1"/>
  <c r="E17" i="3" l="1"/>
  <c r="F17" i="3" s="1"/>
  <c r="I17" i="3"/>
  <c r="G17" i="3"/>
  <c r="H17" i="3" s="1"/>
  <c r="G18" i="19"/>
  <c r="J18" i="19"/>
  <c r="L18" i="19"/>
  <c r="C19" i="18"/>
  <c r="K18" i="18"/>
  <c r="I18" i="18" s="1"/>
  <c r="G18" i="16"/>
  <c r="E18" i="16"/>
  <c r="F18" i="16" s="1"/>
  <c r="H19" i="15"/>
  <c r="C20" i="15" s="1"/>
  <c r="M19" i="15"/>
  <c r="K19" i="15"/>
  <c r="J21" i="13"/>
  <c r="H21" i="13"/>
  <c r="C22" i="13" s="1"/>
  <c r="G21" i="13"/>
  <c r="E20" i="2"/>
  <c r="F27" i="6"/>
  <c r="G27" i="6" s="1"/>
  <c r="H27" i="6" s="1"/>
  <c r="D28" i="6" s="1"/>
  <c r="E27" i="6"/>
  <c r="F20" i="2"/>
  <c r="H20" i="2" s="1"/>
  <c r="J17" i="3" l="1"/>
  <c r="K17" i="3"/>
  <c r="H18" i="19"/>
  <c r="C19" i="19" s="1"/>
  <c r="M18" i="19"/>
  <c r="K18" i="19"/>
  <c r="D19" i="18"/>
  <c r="H18" i="16"/>
  <c r="M18" i="16"/>
  <c r="K18" i="16"/>
  <c r="I19" i="15"/>
  <c r="D20" i="15" s="1"/>
  <c r="E20" i="15" s="1"/>
  <c r="K21" i="13"/>
  <c r="I21" i="13"/>
  <c r="D22" i="13" s="1"/>
  <c r="C21" i="2"/>
  <c r="I27" i="6"/>
  <c r="C28" i="6" s="1"/>
  <c r="G20" i="2"/>
  <c r="I20" i="2" s="1"/>
  <c r="L17" i="3" l="1"/>
  <c r="N17" i="3"/>
  <c r="I18" i="19"/>
  <c r="D19" i="19" s="1"/>
  <c r="I18" i="16"/>
  <c r="C19" i="16" s="1"/>
  <c r="E19" i="18"/>
  <c r="F19" i="18"/>
  <c r="N18" i="16"/>
  <c r="L18" i="16"/>
  <c r="F20" i="15"/>
  <c r="J20" i="15" s="1"/>
  <c r="F22" i="13"/>
  <c r="E22" i="13"/>
  <c r="D21" i="2"/>
  <c r="F28" i="6"/>
  <c r="G28" i="6" s="1"/>
  <c r="H28" i="6" s="1"/>
  <c r="D29" i="6" s="1"/>
  <c r="E28" i="6"/>
  <c r="M17" i="3" l="1"/>
  <c r="C18" i="3"/>
  <c r="F19" i="19"/>
  <c r="E19" i="19"/>
  <c r="J18" i="16"/>
  <c r="D19" i="16" s="1"/>
  <c r="G19" i="18"/>
  <c r="J19" i="18"/>
  <c r="H19" i="18" s="1"/>
  <c r="L20" i="15"/>
  <c r="H20" i="15" s="1"/>
  <c r="C21" i="15" s="1"/>
  <c r="G20" i="15"/>
  <c r="J22" i="13"/>
  <c r="G22" i="13"/>
  <c r="H22" i="13"/>
  <c r="C23" i="13" s="1"/>
  <c r="E21" i="2"/>
  <c r="I28" i="6"/>
  <c r="C29" i="6" s="1"/>
  <c r="F21" i="2"/>
  <c r="H21" i="2" s="1"/>
  <c r="E18" i="3" l="1"/>
  <c r="F18" i="3" s="1"/>
  <c r="I18" i="3"/>
  <c r="J18" i="3" s="1"/>
  <c r="G18" i="3"/>
  <c r="H18" i="3" s="1"/>
  <c r="G19" i="19"/>
  <c r="L19" i="19"/>
  <c r="J19" i="19"/>
  <c r="C20" i="18"/>
  <c r="K19" i="18"/>
  <c r="I19" i="18" s="1"/>
  <c r="G19" i="16"/>
  <c r="E19" i="16"/>
  <c r="F19" i="16" s="1"/>
  <c r="M20" i="15"/>
  <c r="K20" i="15"/>
  <c r="K22" i="13"/>
  <c r="I22" i="13"/>
  <c r="D23" i="13" s="1"/>
  <c r="C22" i="2"/>
  <c r="F29" i="6"/>
  <c r="G29" i="6" s="1"/>
  <c r="H29" i="6" s="1"/>
  <c r="D30" i="6" s="1"/>
  <c r="E29" i="6"/>
  <c r="G21" i="2"/>
  <c r="I21" i="2" s="1"/>
  <c r="K18" i="3" l="1"/>
  <c r="H19" i="19"/>
  <c r="C20" i="19" s="1"/>
  <c r="M19" i="19"/>
  <c r="K19" i="19"/>
  <c r="D20" i="18"/>
  <c r="H19" i="16"/>
  <c r="K19" i="16"/>
  <c r="M19" i="16"/>
  <c r="I20" i="15"/>
  <c r="D21" i="15" s="1"/>
  <c r="E21" i="15" s="1"/>
  <c r="F23" i="13"/>
  <c r="E23" i="13"/>
  <c r="D22" i="2"/>
  <c r="I29" i="6"/>
  <c r="C30" i="6" s="1"/>
  <c r="L18" i="3" l="1"/>
  <c r="N18" i="3"/>
  <c r="I19" i="19"/>
  <c r="D20" i="19" s="1"/>
  <c r="E20" i="19" s="1"/>
  <c r="I19" i="16"/>
  <c r="C20" i="16" s="1"/>
  <c r="F20" i="18"/>
  <c r="E20" i="18"/>
  <c r="N19" i="16"/>
  <c r="L19" i="16"/>
  <c r="F21" i="15"/>
  <c r="G21" i="15" s="1"/>
  <c r="J23" i="13"/>
  <c r="G23" i="13"/>
  <c r="H23" i="13"/>
  <c r="C24" i="13" s="1"/>
  <c r="E22" i="2"/>
  <c r="E30" i="6"/>
  <c r="F30" i="6"/>
  <c r="G30" i="6" s="1"/>
  <c r="H30" i="6" s="1"/>
  <c r="D31" i="6" s="1"/>
  <c r="F22" i="2"/>
  <c r="H22" i="2" s="1"/>
  <c r="M18" i="3" l="1"/>
  <c r="C19" i="3"/>
  <c r="F20" i="19"/>
  <c r="J19" i="16"/>
  <c r="D20" i="16" s="1"/>
  <c r="G20" i="18"/>
  <c r="J20" i="18"/>
  <c r="H20" i="18" s="1"/>
  <c r="J21" i="15"/>
  <c r="L21" i="15"/>
  <c r="K21" i="15"/>
  <c r="M21" i="15"/>
  <c r="K23" i="13"/>
  <c r="I23" i="13"/>
  <c r="D24" i="13" s="1"/>
  <c r="C23" i="2"/>
  <c r="I30" i="6"/>
  <c r="C31" i="6" s="1"/>
  <c r="G22" i="2"/>
  <c r="I22" i="2" s="1"/>
  <c r="E19" i="3" l="1"/>
  <c r="F19" i="3" s="1"/>
  <c r="G19" i="3"/>
  <c r="I19" i="3"/>
  <c r="J19" i="3" s="1"/>
  <c r="G20" i="19"/>
  <c r="J20" i="19"/>
  <c r="L20" i="19"/>
  <c r="C21" i="18"/>
  <c r="K20" i="18"/>
  <c r="I20" i="18" s="1"/>
  <c r="G20" i="16"/>
  <c r="E20" i="16"/>
  <c r="F20" i="16" s="1"/>
  <c r="H21" i="15"/>
  <c r="C22" i="15" s="1"/>
  <c r="I21" i="15"/>
  <c r="D22" i="15" s="1"/>
  <c r="E24" i="13"/>
  <c r="F24" i="13"/>
  <c r="D23" i="2"/>
  <c r="F31" i="6"/>
  <c r="G31" i="6" s="1"/>
  <c r="H31" i="6" s="1"/>
  <c r="D32" i="6" s="1"/>
  <c r="E31" i="6"/>
  <c r="H19" i="3" l="1"/>
  <c r="K19" i="3"/>
  <c r="H20" i="19"/>
  <c r="C21" i="19" s="1"/>
  <c r="M20" i="19"/>
  <c r="K20" i="19"/>
  <c r="D21" i="18"/>
  <c r="H20" i="16"/>
  <c r="M20" i="16"/>
  <c r="K20" i="16"/>
  <c r="F22" i="15"/>
  <c r="E22" i="15"/>
  <c r="J24" i="13"/>
  <c r="G24" i="13"/>
  <c r="H24" i="13"/>
  <c r="C25" i="13" s="1"/>
  <c r="E23" i="2"/>
  <c r="I31" i="6"/>
  <c r="C32" i="6" s="1"/>
  <c r="E32" i="6" s="1"/>
  <c r="F23" i="2"/>
  <c r="H23" i="2" s="1"/>
  <c r="L19" i="3" l="1"/>
  <c r="N19" i="3"/>
  <c r="I20" i="19"/>
  <c r="D21" i="19" s="1"/>
  <c r="E21" i="19" s="1"/>
  <c r="I20" i="16"/>
  <c r="C21" i="16" s="1"/>
  <c r="E21" i="18"/>
  <c r="F21" i="18"/>
  <c r="N20" i="16"/>
  <c r="L20" i="16"/>
  <c r="G22" i="15"/>
  <c r="M22" i="15" s="1"/>
  <c r="J22" i="15"/>
  <c r="L22" i="15"/>
  <c r="K24" i="13"/>
  <c r="I24" i="13"/>
  <c r="D25" i="13" s="1"/>
  <c r="C24" i="2"/>
  <c r="F32" i="6"/>
  <c r="G23" i="2"/>
  <c r="I23" i="2" s="1"/>
  <c r="M19" i="3" l="1"/>
  <c r="C20" i="3"/>
  <c r="F21" i="19"/>
  <c r="J20" i="16"/>
  <c r="D21" i="16" s="1"/>
  <c r="G21" i="18"/>
  <c r="J21" i="18"/>
  <c r="H21" i="18" s="1"/>
  <c r="H22" i="15"/>
  <c r="C23" i="15" s="1"/>
  <c r="K22" i="15"/>
  <c r="I22" i="15" s="1"/>
  <c r="D23" i="15" s="1"/>
  <c r="E25" i="13"/>
  <c r="F25" i="13"/>
  <c r="I32" i="6"/>
  <c r="F33" i="6"/>
  <c r="D24" i="2"/>
  <c r="G32" i="6"/>
  <c r="E20" i="3" l="1"/>
  <c r="F20" i="3" s="1"/>
  <c r="G20" i="3"/>
  <c r="H20" i="3" s="1"/>
  <c r="I20" i="3"/>
  <c r="J20" i="3" s="1"/>
  <c r="G21" i="19"/>
  <c r="L21" i="19"/>
  <c r="J21" i="19"/>
  <c r="C22" i="18"/>
  <c r="K21" i="18"/>
  <c r="I21" i="18" s="1"/>
  <c r="G21" i="16"/>
  <c r="E21" i="16"/>
  <c r="F21" i="16" s="1"/>
  <c r="F23" i="15"/>
  <c r="E23" i="15"/>
  <c r="J25" i="13"/>
  <c r="H25" i="13"/>
  <c r="C26" i="13" s="1"/>
  <c r="G25" i="13"/>
  <c r="H32" i="6"/>
  <c r="G33" i="6"/>
  <c r="H33" i="6" s="1"/>
  <c r="E24" i="2"/>
  <c r="F24" i="2"/>
  <c r="H24" i="2" s="1"/>
  <c r="K20" i="3" l="1"/>
  <c r="H21" i="19"/>
  <c r="C22" i="19" s="1"/>
  <c r="M21" i="19"/>
  <c r="K21" i="19"/>
  <c r="D22" i="18"/>
  <c r="H21" i="16"/>
  <c r="M21" i="16"/>
  <c r="K21" i="16"/>
  <c r="J23" i="15"/>
  <c r="G23" i="15"/>
  <c r="L23" i="15"/>
  <c r="K25" i="13"/>
  <c r="I25" i="13"/>
  <c r="D26" i="13" s="1"/>
  <c r="C25" i="2"/>
  <c r="G24" i="2"/>
  <c r="I24" i="2" s="1"/>
  <c r="L20" i="3" l="1"/>
  <c r="N20" i="3"/>
  <c r="I21" i="19"/>
  <c r="D22" i="19" s="1"/>
  <c r="E22" i="19" s="1"/>
  <c r="I21" i="16"/>
  <c r="C22" i="16" s="1"/>
  <c r="E22" i="18"/>
  <c r="F22" i="18"/>
  <c r="N21" i="16"/>
  <c r="L21" i="16"/>
  <c r="M23" i="15"/>
  <c r="H23" i="15"/>
  <c r="C24" i="15" s="1"/>
  <c r="K23" i="15"/>
  <c r="E26" i="13"/>
  <c r="F26" i="13"/>
  <c r="D25" i="2"/>
  <c r="M20" i="3" l="1"/>
  <c r="C21" i="3"/>
  <c r="F22" i="19"/>
  <c r="J21" i="16"/>
  <c r="D22" i="16" s="1"/>
  <c r="G22" i="18"/>
  <c r="J22" i="18"/>
  <c r="H22" i="18" s="1"/>
  <c r="I23" i="15"/>
  <c r="D24" i="15" s="1"/>
  <c r="E24" i="15" s="1"/>
  <c r="J26" i="13"/>
  <c r="H26" i="13"/>
  <c r="C27" i="13" s="1"/>
  <c r="G26" i="13"/>
  <c r="E25" i="2"/>
  <c r="F25" i="2"/>
  <c r="H25" i="2" s="1"/>
  <c r="E21" i="3" l="1"/>
  <c r="F21" i="3" s="1"/>
  <c r="I21" i="3"/>
  <c r="G21" i="3"/>
  <c r="H21" i="3" s="1"/>
  <c r="G22" i="19"/>
  <c r="J22" i="19"/>
  <c r="L22" i="19"/>
  <c r="E22" i="16"/>
  <c r="F22" i="16" s="1"/>
  <c r="C23" i="18"/>
  <c r="K22" i="18"/>
  <c r="I22" i="18" s="1"/>
  <c r="G22" i="16"/>
  <c r="F24" i="15"/>
  <c r="K26" i="13"/>
  <c r="I26" i="13"/>
  <c r="D27" i="13" s="1"/>
  <c r="C26" i="2"/>
  <c r="G25" i="2"/>
  <c r="I25" i="2" s="1"/>
  <c r="J21" i="3" l="1"/>
  <c r="K21" i="3"/>
  <c r="H22" i="19"/>
  <c r="C23" i="19" s="1"/>
  <c r="M22" i="19"/>
  <c r="K22" i="19"/>
  <c r="D23" i="18"/>
  <c r="H22" i="16"/>
  <c r="K22" i="16"/>
  <c r="M22" i="16"/>
  <c r="L24" i="15"/>
  <c r="G24" i="15"/>
  <c r="M24" i="15" s="1"/>
  <c r="J24" i="15"/>
  <c r="E27" i="13"/>
  <c r="F27" i="13"/>
  <c r="D26" i="2"/>
  <c r="L21" i="3" l="1"/>
  <c r="N21" i="3"/>
  <c r="I22" i="19"/>
  <c r="D23" i="19" s="1"/>
  <c r="E23" i="19" s="1"/>
  <c r="I22" i="16"/>
  <c r="C23" i="16" s="1"/>
  <c r="E23" i="18"/>
  <c r="F23" i="18"/>
  <c r="L22" i="16"/>
  <c r="N22" i="16"/>
  <c r="K24" i="15"/>
  <c r="I24" i="15" s="1"/>
  <c r="D25" i="15" s="1"/>
  <c r="H24" i="15"/>
  <c r="C25" i="15" s="1"/>
  <c r="J27" i="13"/>
  <c r="G27" i="13"/>
  <c r="H27" i="13"/>
  <c r="C28" i="13" s="1"/>
  <c r="E26" i="2"/>
  <c r="F26" i="2"/>
  <c r="H26" i="2" s="1"/>
  <c r="M21" i="3" l="1"/>
  <c r="C22" i="3"/>
  <c r="F23" i="19"/>
  <c r="J22" i="16"/>
  <c r="D23" i="16" s="1"/>
  <c r="G23" i="18"/>
  <c r="J23" i="18"/>
  <c r="H23" i="18" s="1"/>
  <c r="E25" i="15"/>
  <c r="F25" i="15"/>
  <c r="K27" i="13"/>
  <c r="I27" i="13"/>
  <c r="D28" i="13" s="1"/>
  <c r="C27" i="2"/>
  <c r="G26" i="2"/>
  <c r="I26" i="2" s="1"/>
  <c r="E22" i="3" l="1"/>
  <c r="F22" i="3" s="1"/>
  <c r="I22" i="3"/>
  <c r="G22" i="3"/>
  <c r="H22" i="3" s="1"/>
  <c r="G23" i="19"/>
  <c r="L23" i="19"/>
  <c r="J23" i="19"/>
  <c r="C24" i="18"/>
  <c r="K23" i="18"/>
  <c r="I23" i="18" s="1"/>
  <c r="G23" i="16"/>
  <c r="E23" i="16"/>
  <c r="F23" i="16" s="1"/>
  <c r="J25" i="15"/>
  <c r="L25" i="15"/>
  <c r="G25" i="15"/>
  <c r="M25" i="15" s="1"/>
  <c r="F28" i="13"/>
  <c r="E28" i="13"/>
  <c r="D27" i="2"/>
  <c r="J22" i="3" l="1"/>
  <c r="K22" i="3"/>
  <c r="M23" i="19"/>
  <c r="K23" i="19"/>
  <c r="H23" i="19"/>
  <c r="C24" i="19" s="1"/>
  <c r="D24" i="18"/>
  <c r="H23" i="16"/>
  <c r="M23" i="16"/>
  <c r="K23" i="16"/>
  <c r="H25" i="15"/>
  <c r="C26" i="15" s="1"/>
  <c r="K25" i="15"/>
  <c r="I25" i="15" s="1"/>
  <c r="D26" i="15" s="1"/>
  <c r="J28" i="13"/>
  <c r="G28" i="13"/>
  <c r="H28" i="13"/>
  <c r="C29" i="13" s="1"/>
  <c r="E27" i="2"/>
  <c r="F27" i="2"/>
  <c r="H27" i="2" s="1"/>
  <c r="L22" i="3" l="1"/>
  <c r="M22" i="3" s="1"/>
  <c r="N22" i="3"/>
  <c r="C23" i="3" s="1"/>
  <c r="I23" i="19"/>
  <c r="D24" i="19" s="1"/>
  <c r="I23" i="16"/>
  <c r="C24" i="16" s="1"/>
  <c r="F24" i="18"/>
  <c r="E24" i="18"/>
  <c r="N23" i="16"/>
  <c r="L23" i="16"/>
  <c r="F26" i="15"/>
  <c r="E26" i="15"/>
  <c r="K28" i="13"/>
  <c r="I28" i="13"/>
  <c r="D29" i="13" s="1"/>
  <c r="C28" i="2"/>
  <c r="G27" i="2"/>
  <c r="I27" i="2" s="1"/>
  <c r="E23" i="3" l="1"/>
  <c r="F23" i="3" s="1"/>
  <c r="G23" i="3"/>
  <c r="H23" i="3" s="1"/>
  <c r="I23" i="3"/>
  <c r="J23" i="3" s="1"/>
  <c r="F24" i="19"/>
  <c r="E24" i="19"/>
  <c r="J23" i="16"/>
  <c r="D24" i="16" s="1"/>
  <c r="G24" i="18"/>
  <c r="J24" i="18"/>
  <c r="H24" i="18" s="1"/>
  <c r="G26" i="15"/>
  <c r="L26" i="15"/>
  <c r="J26" i="15"/>
  <c r="F29" i="13"/>
  <c r="E29" i="13"/>
  <c r="D28" i="2"/>
  <c r="K23" i="3" l="1"/>
  <c r="G24" i="19"/>
  <c r="L24" i="19"/>
  <c r="J24" i="19"/>
  <c r="C25" i="18"/>
  <c r="K24" i="18"/>
  <c r="I24" i="18" s="1"/>
  <c r="G24" i="16"/>
  <c r="E24" i="16"/>
  <c r="F24" i="16" s="1"/>
  <c r="M26" i="15"/>
  <c r="K26" i="15"/>
  <c r="H26" i="15"/>
  <c r="C27" i="15" s="1"/>
  <c r="J29" i="13"/>
  <c r="G29" i="13"/>
  <c r="H29" i="13"/>
  <c r="C30" i="13" s="1"/>
  <c r="E28" i="2"/>
  <c r="F28" i="2"/>
  <c r="H28" i="2" s="1"/>
  <c r="L23" i="3" l="1"/>
  <c r="N23" i="3"/>
  <c r="H24" i="19"/>
  <c r="C25" i="19" s="1"/>
  <c r="M24" i="19"/>
  <c r="K24" i="19"/>
  <c r="D25" i="18"/>
  <c r="H24" i="16"/>
  <c r="M24" i="16"/>
  <c r="K24" i="16"/>
  <c r="I26" i="15"/>
  <c r="D27" i="15" s="1"/>
  <c r="E27" i="15" s="1"/>
  <c r="K29" i="13"/>
  <c r="I29" i="13"/>
  <c r="D30" i="13" s="1"/>
  <c r="C29" i="2"/>
  <c r="G28" i="2"/>
  <c r="I28" i="2" s="1"/>
  <c r="M23" i="3" l="1"/>
  <c r="C24" i="3"/>
  <c r="I24" i="19"/>
  <c r="D25" i="19" s="1"/>
  <c r="I24" i="16"/>
  <c r="C25" i="16" s="1"/>
  <c r="F25" i="18"/>
  <c r="E25" i="18"/>
  <c r="N24" i="16"/>
  <c r="L24" i="16"/>
  <c r="F27" i="15"/>
  <c r="G27" i="15" s="1"/>
  <c r="M27" i="15" s="1"/>
  <c r="F30" i="13"/>
  <c r="E30" i="13"/>
  <c r="D29" i="2"/>
  <c r="E24" i="3" l="1"/>
  <c r="F24" i="3" s="1"/>
  <c r="G24" i="3"/>
  <c r="I24" i="3"/>
  <c r="J24" i="3" s="1"/>
  <c r="F25" i="19"/>
  <c r="E25" i="19"/>
  <c r="J24" i="16"/>
  <c r="D25" i="16" s="1"/>
  <c r="G25" i="18"/>
  <c r="J25" i="18"/>
  <c r="H25" i="18" s="1"/>
  <c r="J27" i="15"/>
  <c r="K27" i="15"/>
  <c r="I27" i="15" s="1"/>
  <c r="D28" i="15" s="1"/>
  <c r="L27" i="15"/>
  <c r="J30" i="13"/>
  <c r="H30" i="13"/>
  <c r="C31" i="13" s="1"/>
  <c r="G30" i="13"/>
  <c r="E29" i="2"/>
  <c r="F29" i="2"/>
  <c r="H29" i="2" s="1"/>
  <c r="H24" i="3" l="1"/>
  <c r="K24" i="3"/>
  <c r="G25" i="19"/>
  <c r="J25" i="19"/>
  <c r="L25" i="19"/>
  <c r="C26" i="18"/>
  <c r="K25" i="18"/>
  <c r="I25" i="18" s="1"/>
  <c r="G25" i="16"/>
  <c r="E25" i="16"/>
  <c r="F25" i="16" s="1"/>
  <c r="H27" i="15"/>
  <c r="C28" i="15" s="1"/>
  <c r="F28" i="15" s="1"/>
  <c r="K30" i="13"/>
  <c r="I30" i="13"/>
  <c r="D31" i="13" s="1"/>
  <c r="C30" i="2"/>
  <c r="G29" i="2"/>
  <c r="I29" i="2" s="1"/>
  <c r="L24" i="3" l="1"/>
  <c r="N24" i="3"/>
  <c r="H25" i="19"/>
  <c r="C26" i="19" s="1"/>
  <c r="M25" i="19"/>
  <c r="K25" i="19"/>
  <c r="D26" i="18"/>
  <c r="H25" i="16"/>
  <c r="K25" i="16"/>
  <c r="M25" i="16"/>
  <c r="L28" i="15"/>
  <c r="G28" i="15"/>
  <c r="J28" i="15"/>
  <c r="E28" i="15"/>
  <c r="F31" i="13"/>
  <c r="E31" i="13"/>
  <c r="D30" i="2"/>
  <c r="M24" i="3" l="1"/>
  <c r="C25" i="3"/>
  <c r="I25" i="19"/>
  <c r="D26" i="19" s="1"/>
  <c r="I25" i="16"/>
  <c r="C26" i="16" s="1"/>
  <c r="E26" i="18"/>
  <c r="F26" i="18"/>
  <c r="L25" i="16"/>
  <c r="N25" i="16"/>
  <c r="K28" i="15"/>
  <c r="M28" i="15"/>
  <c r="H28" i="15"/>
  <c r="C29" i="15" s="1"/>
  <c r="J31" i="13"/>
  <c r="G31" i="13"/>
  <c r="H31" i="13"/>
  <c r="C32" i="13" s="1"/>
  <c r="E30" i="2"/>
  <c r="F30" i="2"/>
  <c r="H30" i="2" s="1"/>
  <c r="E25" i="3" l="1"/>
  <c r="F25" i="3" s="1"/>
  <c r="I25" i="3"/>
  <c r="G25" i="3"/>
  <c r="H25" i="3" s="1"/>
  <c r="F26" i="19"/>
  <c r="E26" i="19"/>
  <c r="J25" i="16"/>
  <c r="D26" i="16" s="1"/>
  <c r="G26" i="18"/>
  <c r="J26" i="18"/>
  <c r="H26" i="18" s="1"/>
  <c r="I28" i="15"/>
  <c r="D29" i="15" s="1"/>
  <c r="F29" i="15" s="1"/>
  <c r="K31" i="13"/>
  <c r="I31" i="13"/>
  <c r="D32" i="13" s="1"/>
  <c r="E32" i="13" s="1"/>
  <c r="C31" i="2"/>
  <c r="G30" i="2"/>
  <c r="I30" i="2" s="1"/>
  <c r="J25" i="3" l="1"/>
  <c r="K25" i="3"/>
  <c r="G26" i="19"/>
  <c r="J26" i="19"/>
  <c r="L26" i="19"/>
  <c r="C27" i="18"/>
  <c r="K26" i="18"/>
  <c r="I26" i="18" s="1"/>
  <c r="G26" i="16"/>
  <c r="E26" i="16"/>
  <c r="F26" i="16" s="1"/>
  <c r="E29" i="15"/>
  <c r="J29" i="15"/>
  <c r="L29" i="15"/>
  <c r="G29" i="15"/>
  <c r="K29" i="15" s="1"/>
  <c r="F32" i="13"/>
  <c r="D31" i="2"/>
  <c r="L25" i="3" l="1"/>
  <c r="N25" i="3"/>
  <c r="H26" i="19"/>
  <c r="C27" i="19" s="1"/>
  <c r="M26" i="19"/>
  <c r="K26" i="19"/>
  <c r="D27" i="18"/>
  <c r="H29" i="15"/>
  <c r="C30" i="15" s="1"/>
  <c r="H26" i="16"/>
  <c r="M26" i="16"/>
  <c r="K26" i="16"/>
  <c r="M29" i="15"/>
  <c r="I29" i="15" s="1"/>
  <c r="D30" i="15" s="1"/>
  <c r="J32" i="13"/>
  <c r="G32" i="13"/>
  <c r="H32" i="13"/>
  <c r="E31" i="2"/>
  <c r="F31" i="2"/>
  <c r="H31" i="2" s="1"/>
  <c r="M25" i="3" l="1"/>
  <c r="C26" i="3"/>
  <c r="I26" i="19"/>
  <c r="D27" i="19" s="1"/>
  <c r="E27" i="19" s="1"/>
  <c r="I26" i="16"/>
  <c r="C27" i="16" s="1"/>
  <c r="E27" i="18"/>
  <c r="F27" i="18"/>
  <c r="N26" i="16"/>
  <c r="L26" i="16"/>
  <c r="F30" i="15"/>
  <c r="E30" i="15"/>
  <c r="K32" i="13"/>
  <c r="I32" i="13"/>
  <c r="C32" i="2"/>
  <c r="G31" i="2"/>
  <c r="I31" i="2" s="1"/>
  <c r="E26" i="3" l="1"/>
  <c r="F26" i="3" s="1"/>
  <c r="I26" i="3"/>
  <c r="J26" i="3" s="1"/>
  <c r="G26" i="3"/>
  <c r="H26" i="3" s="1"/>
  <c r="F27" i="19"/>
  <c r="J26" i="16"/>
  <c r="D27" i="16" s="1"/>
  <c r="G27" i="18"/>
  <c r="J27" i="18"/>
  <c r="H27" i="18" s="1"/>
  <c r="J30" i="15"/>
  <c r="G30" i="15"/>
  <c r="L30" i="15"/>
  <c r="D32" i="2"/>
  <c r="K26" i="3" l="1"/>
  <c r="G27" i="19"/>
  <c r="J27" i="19"/>
  <c r="L27" i="19"/>
  <c r="E27" i="16"/>
  <c r="F27" i="16" s="1"/>
  <c r="C28" i="18"/>
  <c r="K27" i="18"/>
  <c r="I27" i="18" s="1"/>
  <c r="G27" i="16"/>
  <c r="M30" i="15"/>
  <c r="K30" i="15"/>
  <c r="H30" i="15"/>
  <c r="C31" i="15" s="1"/>
  <c r="E32" i="2"/>
  <c r="F32" i="2"/>
  <c r="L26" i="3" l="1"/>
  <c r="N26" i="3"/>
  <c r="H32" i="2"/>
  <c r="F33" i="2"/>
  <c r="H27" i="19"/>
  <c r="C28" i="19" s="1"/>
  <c r="M27" i="19"/>
  <c r="K27" i="19"/>
  <c r="D28" i="18"/>
  <c r="H27" i="16"/>
  <c r="K27" i="16"/>
  <c r="M27" i="16"/>
  <c r="I30" i="15"/>
  <c r="D31" i="15" s="1"/>
  <c r="G32" i="2"/>
  <c r="I32" i="2" s="1"/>
  <c r="M26" i="3" l="1"/>
  <c r="C27" i="3"/>
  <c r="I27" i="19"/>
  <c r="D28" i="19" s="1"/>
  <c r="E28" i="19" s="1"/>
  <c r="I27" i="16"/>
  <c r="C28" i="16" s="1"/>
  <c r="E28" i="18"/>
  <c r="F28" i="18"/>
  <c r="N27" i="16"/>
  <c r="L27" i="16"/>
  <c r="E31" i="15"/>
  <c r="F31" i="15"/>
  <c r="G33" i="2"/>
  <c r="E27" i="3" l="1"/>
  <c r="F27" i="3" s="1"/>
  <c r="G27" i="3"/>
  <c r="I27" i="3"/>
  <c r="F28" i="19"/>
  <c r="J27" i="16"/>
  <c r="D28" i="16" s="1"/>
  <c r="G28" i="18"/>
  <c r="J28" i="18"/>
  <c r="H28" i="18" s="1"/>
  <c r="G31" i="15"/>
  <c r="L31" i="15"/>
  <c r="J31" i="15"/>
  <c r="J27" i="3" l="1"/>
  <c r="H27" i="3"/>
  <c r="K27" i="3"/>
  <c r="G28" i="19"/>
  <c r="J28" i="19"/>
  <c r="L28" i="19"/>
  <c r="C29" i="18"/>
  <c r="K28" i="18"/>
  <c r="I28" i="18" s="1"/>
  <c r="G28" i="16"/>
  <c r="E28" i="16"/>
  <c r="F28" i="16" s="1"/>
  <c r="H31" i="15"/>
  <c r="C32" i="15" s="1"/>
  <c r="K31" i="15"/>
  <c r="M31" i="15"/>
  <c r="L27" i="3" l="1"/>
  <c r="N27" i="3"/>
  <c r="H28" i="19"/>
  <c r="C29" i="19" s="1"/>
  <c r="M28" i="19"/>
  <c r="K28" i="19"/>
  <c r="D29" i="18"/>
  <c r="H28" i="16"/>
  <c r="M28" i="16"/>
  <c r="K28" i="16"/>
  <c r="I31" i="15"/>
  <c r="D32" i="15" s="1"/>
  <c r="F32" i="15" s="1"/>
  <c r="J32" i="15" s="1"/>
  <c r="M27" i="3" l="1"/>
  <c r="C28" i="3"/>
  <c r="I28" i="19"/>
  <c r="D29" i="19" s="1"/>
  <c r="E29" i="19" s="1"/>
  <c r="I28" i="16"/>
  <c r="C29" i="16" s="1"/>
  <c r="F29" i="18"/>
  <c r="E29" i="18"/>
  <c r="N28" i="16"/>
  <c r="L28" i="16"/>
  <c r="E32" i="15"/>
  <c r="G32" i="15"/>
  <c r="K32" i="15" s="1"/>
  <c r="L32" i="15"/>
  <c r="H32" i="15" s="1"/>
  <c r="E28" i="3" l="1"/>
  <c r="F28" i="3" s="1"/>
  <c r="G28" i="3"/>
  <c r="I28" i="3"/>
  <c r="J28" i="3" s="1"/>
  <c r="F29" i="19"/>
  <c r="J28" i="16"/>
  <c r="D29" i="16" s="1"/>
  <c r="G29" i="18"/>
  <c r="J29" i="18"/>
  <c r="H29" i="18" s="1"/>
  <c r="M32" i="15"/>
  <c r="I32" i="15" s="1"/>
  <c r="H28" i="3" l="1"/>
  <c r="K28" i="3"/>
  <c r="G29" i="19"/>
  <c r="J29" i="19"/>
  <c r="L29" i="19"/>
  <c r="C30" i="18"/>
  <c r="K29" i="18"/>
  <c r="I29" i="18" s="1"/>
  <c r="G29" i="16"/>
  <c r="E29" i="16"/>
  <c r="F29" i="16" s="1"/>
  <c r="L28" i="3" l="1"/>
  <c r="N28" i="3"/>
  <c r="H29" i="19"/>
  <c r="C30" i="19" s="1"/>
  <c r="M29" i="19"/>
  <c r="K29" i="19"/>
  <c r="D30" i="18"/>
  <c r="H29" i="16"/>
  <c r="K29" i="16"/>
  <c r="M29" i="16"/>
  <c r="M28" i="3" l="1"/>
  <c r="C29" i="3"/>
  <c r="I29" i="19"/>
  <c r="D30" i="19" s="1"/>
  <c r="E30" i="19" s="1"/>
  <c r="I29" i="16"/>
  <c r="C30" i="16" s="1"/>
  <c r="E30" i="18"/>
  <c r="F30" i="18"/>
  <c r="L29" i="16"/>
  <c r="N29" i="16"/>
  <c r="E29" i="3" l="1"/>
  <c r="F29" i="3" s="1"/>
  <c r="I29" i="3"/>
  <c r="G29" i="3"/>
  <c r="H29" i="3" s="1"/>
  <c r="F30" i="19"/>
  <c r="J29" i="16"/>
  <c r="D30" i="16" s="1"/>
  <c r="G30" i="18"/>
  <c r="J30" i="18"/>
  <c r="H30" i="18" s="1"/>
  <c r="J29" i="3" l="1"/>
  <c r="K29" i="3"/>
  <c r="G30" i="19"/>
  <c r="L30" i="19"/>
  <c r="J30" i="19"/>
  <c r="C31" i="18"/>
  <c r="K30" i="18"/>
  <c r="I30" i="18" s="1"/>
  <c r="G30" i="16"/>
  <c r="E30" i="16"/>
  <c r="F30" i="16" s="1"/>
  <c r="L29" i="3" l="1"/>
  <c r="N29" i="3"/>
  <c r="H30" i="19"/>
  <c r="C31" i="19" s="1"/>
  <c r="M30" i="19"/>
  <c r="K30" i="19"/>
  <c r="D31" i="18"/>
  <c r="H30" i="16"/>
  <c r="M30" i="16"/>
  <c r="K30" i="16"/>
  <c r="M29" i="3" l="1"/>
  <c r="C30" i="3"/>
  <c r="I30" i="19"/>
  <c r="D31" i="19" s="1"/>
  <c r="E31" i="19" s="1"/>
  <c r="I30" i="16"/>
  <c r="C31" i="16" s="1"/>
  <c r="E31" i="18"/>
  <c r="F31" i="18"/>
  <c r="N30" i="16"/>
  <c r="L30" i="16"/>
  <c r="E30" i="3" l="1"/>
  <c r="F30" i="3" s="1"/>
  <c r="I30" i="3"/>
  <c r="G30" i="3"/>
  <c r="H30" i="3" s="1"/>
  <c r="F31" i="19"/>
  <c r="J30" i="16"/>
  <c r="D31" i="16" s="1"/>
  <c r="G31" i="18"/>
  <c r="J31" i="18"/>
  <c r="H31" i="18" s="1"/>
  <c r="J30" i="3" l="1"/>
  <c r="K30" i="3"/>
  <c r="G31" i="19"/>
  <c r="J31" i="19"/>
  <c r="L31" i="19"/>
  <c r="C32" i="18"/>
  <c r="K31" i="18"/>
  <c r="I31" i="18" s="1"/>
  <c r="G31" i="16"/>
  <c r="E31" i="16"/>
  <c r="F31" i="16" s="1"/>
  <c r="L30" i="3" l="1"/>
  <c r="N30" i="3"/>
  <c r="H31" i="19"/>
  <c r="C32" i="19" s="1"/>
  <c r="M31" i="19"/>
  <c r="K31" i="19"/>
  <c r="D32" i="18"/>
  <c r="H31" i="16"/>
  <c r="M31" i="16"/>
  <c r="K31" i="16"/>
  <c r="M30" i="3" l="1"/>
  <c r="C31" i="3"/>
  <c r="I31" i="19"/>
  <c r="D32" i="19" s="1"/>
  <c r="E32" i="19" s="1"/>
  <c r="I31" i="16"/>
  <c r="C32" i="16" s="1"/>
  <c r="F32" i="18"/>
  <c r="E32" i="18"/>
  <c r="N31" i="16"/>
  <c r="L31" i="16"/>
  <c r="E31" i="3" l="1"/>
  <c r="F31" i="3" s="1"/>
  <c r="G31" i="3"/>
  <c r="I31" i="3"/>
  <c r="J31" i="3" s="1"/>
  <c r="F32" i="19"/>
  <c r="F33" i="19" s="1"/>
  <c r="J31" i="16"/>
  <c r="D32" i="16" s="1"/>
  <c r="G32" i="18"/>
  <c r="J32" i="18"/>
  <c r="H32" i="18" s="1"/>
  <c r="H31" i="3" l="1"/>
  <c r="K31" i="3"/>
  <c r="G32" i="19"/>
  <c r="G33" i="19" s="1"/>
  <c r="J32" i="19"/>
  <c r="L32" i="19"/>
  <c r="E32" i="16"/>
  <c r="F32" i="16" s="1"/>
  <c r="F33" i="16" s="1"/>
  <c r="K32" i="18"/>
  <c r="I32" i="18" s="1"/>
  <c r="G32" i="16"/>
  <c r="L31" i="3" l="1"/>
  <c r="N31" i="3"/>
  <c r="N34" i="19"/>
  <c r="H32" i="19"/>
  <c r="M32" i="19"/>
  <c r="K32" i="19"/>
  <c r="H32" i="16"/>
  <c r="M32" i="16"/>
  <c r="K32" i="16"/>
  <c r="M31" i="3" l="1"/>
  <c r="C32" i="3"/>
  <c r="I32" i="19"/>
  <c r="I32" i="16"/>
  <c r="L32" i="16"/>
  <c r="N32" i="16"/>
  <c r="E32" i="3" l="1"/>
  <c r="F32" i="3" s="1"/>
  <c r="G32" i="3"/>
  <c r="I32" i="3"/>
  <c r="J32" i="3" s="1"/>
  <c r="J32" i="16"/>
  <c r="H32" i="3" l="1"/>
  <c r="K32" i="3"/>
  <c r="L32" i="3" l="1"/>
  <c r="F33" i="3"/>
  <c r="M32" i="3" l="1"/>
  <c r="K33" i="3"/>
  <c r="L3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2" authorId="0" shapeId="0" xr:uid="{00000000-0006-0000-0100-00000100000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shapeId="0" xr:uid="{00000000-0006-0000-0100-000002000000}">
      <text>
        <r>
          <rPr>
            <b/>
            <sz val="9"/>
            <color indexed="81"/>
            <rFont val="Tahoma"/>
            <family val="2"/>
          </rPr>
          <t>Rachel Thomas:</t>
        </r>
        <r>
          <rPr>
            <sz val="9"/>
            <color indexed="81"/>
            <rFont val="Tahoma"/>
            <family val="2"/>
          </rPr>
          <t xml:space="preserve">
x values are randomly chosen.  For CNNs, x would be our image data</t>
        </r>
      </text>
    </comment>
    <comment ref="C5" authorId="0" shapeId="0" xr:uid="{00000000-0006-0000-0100-00000300000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Howard</author>
    <author>Rachel Thomas</author>
  </authors>
  <commentList>
    <comment ref="C1" authorId="0" shapeId="0" xr:uid="{00000000-0006-0000-0200-00000100000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shapeId="0" xr:uid="{00000000-0006-0000-0200-000002000000}">
      <text>
        <r>
          <rPr>
            <b/>
            <sz val="9"/>
            <color indexed="81"/>
            <rFont val="Tahoma"/>
            <family val="2"/>
          </rPr>
          <t>Jeremy Howard:</t>
        </r>
        <r>
          <rPr>
            <sz val="9"/>
            <color indexed="81"/>
            <rFont val="Tahoma"/>
            <family val="2"/>
          </rPr>
          <t xml:space="preserve">
Our learning rate, which defines how quickly we update our guesses</t>
        </r>
      </text>
    </comment>
    <comment ref="A3" authorId="0" shapeId="0" xr:uid="{00000000-0006-0000-0200-00000300000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shapeId="0" xr:uid="{00000000-0006-0000-0200-000004000000}">
      <text>
        <r>
          <rPr>
            <b/>
            <sz val="9"/>
            <color indexed="81"/>
            <rFont val="Tahoma"/>
            <family val="2"/>
          </rPr>
          <t>Rachel Thomas:</t>
        </r>
        <r>
          <rPr>
            <sz val="9"/>
            <color indexed="81"/>
            <rFont val="Tahoma"/>
            <family val="2"/>
          </rPr>
          <t xml:space="preserve">
calculating numerically
</t>
        </r>
      </text>
    </comment>
    <comment ref="K3" authorId="1" shapeId="0" xr:uid="{00000000-0006-0000-0200-00000500000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shapeId="0" xr:uid="{00000000-0006-0000-0200-000006000000}">
      <text>
        <r>
          <rPr>
            <b/>
            <sz val="9"/>
            <color indexed="81"/>
            <rFont val="Tahoma"/>
            <family val="2"/>
          </rPr>
          <t>Jeremy Howard:</t>
        </r>
        <r>
          <rPr>
            <sz val="9"/>
            <color indexed="81"/>
            <rFont val="Tahoma"/>
            <family val="2"/>
          </rPr>
          <t xml:space="preserve">
This is our guess for the first row of data</t>
        </r>
      </text>
    </comment>
    <comment ref="M4" authorId="0" shapeId="0" xr:uid="{00000000-0006-0000-0200-00000700000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shapeId="0" xr:uid="{00000000-0006-0000-0200-00000800000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<sst xmlns="http://schemas.openxmlformats.org/spreadsheetml/2006/main" count="164" uniqueCount="71">
  <si>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</si>
  <si>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</si>
  <si>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</si>
  <si>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</si>
  <si>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</si>
  <si>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</si>
  <si>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</si>
  <si>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</si>
  <si>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</si>
  <si>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</si>
  <si>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</si>
  <si>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</si>
  <si>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</si>
  <si>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</si>
  <si>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</si>
  <si>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</si>
  <si>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</si>
  <si>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</si>
  <si>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</si>
  <si>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</si>
  <si>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</si>
  <si>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</si>
  <si>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</si>
  <si>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</si>
  <si>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</si>
  <si>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</si>
  <si>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</si>
  <si>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</si>
  <si>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</si>
  <si>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</si>
  <si>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</si>
  <si>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</si>
  <si>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</si>
  <si>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</si>
  <si>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</si>
  <si>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</si>
  <si>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</si>
  <si>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</si>
  <si>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</si>
  <si>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</si>
  <si>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</si>
  <si>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</si>
  <si>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</si>
  <si>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</si>
  <si>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</si>
  <si>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</si>
  <si>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</si>
  <si>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</si>
  <si>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</si>
  <si>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</si>
  <si>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</si>
  <si>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</si>
  <si>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</si>
  <si>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</si>
  <si>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</si>
  <si>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</si>
  <si>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</si>
  <si>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</si>
  <si>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</si>
  <si>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</si>
  <si>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</si>
  <si>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</si>
  <si>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</si>
  <si>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</si>
  <si>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</si>
  <si>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</si>
  <si>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</si>
  <si>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</si>
  <si>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</si>
  <si>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</si>
  <si>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intercept</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</si>
</sst>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
  </numFmts>
  <fonts count="10" x14ac:knownFonts="1">
    <font>
      <sz val="11"/>
      <color theme="1"/>
      <name val="新細明體"/>
      <family val="2"/>
      <scheme val="minor"/>
    </font>
    <font>
      <b/>
      <sz val="11"/>
      <color theme="1"/>
      <name val="新細明體"/>
      <family val="2"/>
      <scheme val="minor"/>
    </font>
    <font>
      <sz val="11"/>
      <color rgb="FF000000"/>
      <name val="Calibri"/>
      <family val="2"/>
    </font>
    <font>
      <i/>
      <sz val="11"/>
      <color theme="1"/>
      <name val="新細明體"/>
      <family val="2"/>
      <scheme val="minor"/>
    </font>
    <font>
      <b/>
      <i/>
      <sz val="11"/>
      <color theme="1"/>
      <name val="新細明體"/>
      <family val="2"/>
      <scheme val="minor"/>
    </font>
    <font>
      <b/>
      <sz val="14"/>
      <color theme="1"/>
      <name val="新細明體"/>
      <family val="2"/>
      <scheme val="minor"/>
    </font>
    <font>
      <sz val="14"/>
      <color theme="1"/>
      <name val="新細明體"/>
      <family val="2"/>
      <scheme val="minor"/>
    </font>
    <font>
      <sz val="9"/>
      <color indexed="81"/>
      <name val="Tahoma"/>
      <family val="2"/>
    </font>
    <font>
      <b/>
      <sz val="9"/>
      <color indexed="81"/>
      <name val="Tahoma"/>
      <family val="2"/>
    </font>
    <font>
      <sz val="9"/>
      <name val="新細明體"/>
      <family val="3"/>
      <charset val="136"/>
      <scheme val="minor"/>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76" fontId="0" fillId="0" borderId="0" xfId="0" applyNumberFormat="1"/>
    <xf numFmtId="176"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76"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一般" xfId="0" builtinId="0"/>
  </cellStyles>
  <dxfs count="12">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4" formatCode="#,##0.00"/>
    </dxf>
    <dxf>
      <numFmt numFmtId="4" formatCode="#,##0.00"/>
    </dxf>
    <dxf>
      <font>
        <b/>
        <i val="0"/>
        <strike val="0"/>
        <condense val="0"/>
        <extend val="0"/>
        <outline val="0"/>
        <shadow val="0"/>
        <u val="none"/>
        <vertAlign val="baseline"/>
        <sz val="11"/>
        <color theme="1"/>
        <name val="新細明體"/>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409.00875526282192</c:v>
                </c:pt>
                <c:pt idx="1">
                  <c:v>406.98663430838599</c:v>
                </c:pt>
                <c:pt idx="2">
                  <c:v>404.97730219884807</c:v>
                </c:pt>
                <c:pt idx="3">
                  <c:v>402.98069297343568</c:v>
                </c:pt>
                <c:pt idx="4">
                  <c:v>400.99674102829215</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9525</xdr:rowOff>
        </xdr:from>
        <xdr:to>
          <xdr:col>0</xdr:col>
          <xdr:colOff>466725</xdr:colOff>
          <xdr:row>1</xdr:row>
          <xdr:rowOff>209550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Run</a:t>
              </a:r>
            </a:p>
            <a:p>
              <a:pPr algn="ctr" rtl="0">
                <a:defRPr sz="1000"/>
              </a:pPr>
              <a:endParaRPr lang="zh-TW" alt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0</xdr:col>
          <xdr:colOff>466725</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C180D09-B845-461E-9D5A-B2C1965F8704}" name="表格2" displayName="表格2" ref="A3:N32" totalsRowShown="0" headerRowDxfId="11">
  <autoFilter ref="A3:N32" xr:uid="{8ED92727-D89B-4571-B2D9-04C99867D748}"/>
  <tableColumns count="14">
    <tableColumn id="1" xr3:uid="{16B96C85-EDCF-4D49-B1AB-4D0C2A666CA5}" name="x"/>
    <tableColumn id="2" xr3:uid="{010B79F9-1341-4CD3-BCA4-075CB66D2C2B}" name="y"/>
    <tableColumn id="3" xr3:uid="{9C02B51F-953F-407F-8979-576C7AA54B00}" name="intercept">
      <calculatedColumnFormula>N3</calculatedColumnFormula>
    </tableColumn>
    <tableColumn id="4" xr3:uid="{ABDDF96B-27AB-42EF-9E81-CC2D2D15CF51}" name="slope" dataDxfId="8">
      <calculatedColumnFormula>slope</calculatedColumnFormula>
    </tableColumn>
    <tableColumn id="5" xr3:uid="{9439D5C0-E5EC-4E48-8408-C3C3FE5922E7}" name="y_pred" dataDxfId="7">
      <calculatedColumnFormula>表格2[[#This Row],[intercept]]+表格2[[#This Row],[slope]]*表格2[[#This Row],[x]]</calculatedColumnFormula>
    </tableColumn>
    <tableColumn id="6" xr3:uid="{F9B44158-20AD-4630-9394-5891763D021F}" name="err^2" dataDxfId="6">
      <calculatedColumnFormula>(表格2[[#This Row],[y]]-表格2[[#This Row],[y_pred]])^2</calculatedColumnFormula>
    </tableColumn>
    <tableColumn id="7" xr3:uid="{B960190B-F942-4B26-B5D0-9ED17D9A0731}" name="errb1" dataDxfId="5">
      <calculatedColumnFormula>(((表格2[[#This Row],[intercept]]+0.01)+表格2[[#This Row],[x]]*表格2[[#This Row],[slope]])-表格2[[#This Row],[y]])^2</calculatedColumnFormula>
    </tableColumn>
    <tableColumn id="8" xr3:uid="{2C7302DC-2C5E-4CD0-B815-A1E3BBF2233D}" name="est de/db" dataDxfId="4">
      <calculatedColumnFormula>(表格2[[#This Row],[errb1]]-表格2[[#This Row],[err^2]])/0.01</calculatedColumnFormula>
    </tableColumn>
    <tableColumn id="9" xr3:uid="{211A667A-9D59-4606-A425-9815960F7F29}" name="erra1" dataDxfId="3">
      <calculatedColumnFormula>(((表格2[[#This Row],[slope]]+0.01)*表格2[[#This Row],[x]]+表格2[[#This Row],[intercept]])-表格2[[#This Row],[y]])^2</calculatedColumnFormula>
    </tableColumn>
    <tableColumn id="10" xr3:uid="{661064F6-D6BD-43BA-810C-3D0262306E54}" name="est de/da" dataDxfId="2">
      <calculatedColumnFormula>(表格2[[#This Row],[erra1]]-表格2[[#This Row],[err^2]])/0.01</calculatedColumnFormula>
    </tableColumn>
    <tableColumn id="11" xr3:uid="{B5E6BFE0-7D69-421C-B528-EC4DD5B6F00C}" name="de/db" dataDxfId="9">
      <calculatedColumnFormula>2*(表格2[[#This Row],[y_pred]]-表格2[[#This Row],[y]])</calculatedColumnFormula>
    </tableColumn>
    <tableColumn id="12" xr3:uid="{81EAC902-2BF5-4FD9-916F-E0B029E2E7D5}" name="de/da" dataDxfId="1">
      <calculatedColumnFormula>表格2[[#This Row],[de/db]]*表格2[[#This Row],[x]]</calculatedColumnFormula>
    </tableColumn>
    <tableColumn id="13" xr3:uid="{A0D573D8-C3B3-4DF0-8C7C-2285A17C8404}" name="new a" dataDxfId="10">
      <calculatedColumnFormula>表格2[[#This Row],[slope]]-表格2[[#This Row],[de/da]]*learning_rate_SGD</calculatedColumnFormula>
    </tableColumn>
    <tableColumn id="14" xr3:uid="{24616B5E-B7C0-47CE-93C4-79BA792CB75E}" name="new b" dataDxfId="0">
      <calculatedColumnFormula>表格2[[#This Row],[intercept]]-表格2[[#This Row],[de/db]]*learning_rate_SGD</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35"/>
  <sheetViews>
    <sheetView workbookViewId="0">
      <selection activeCell="A37" sqref="A37"/>
    </sheetView>
  </sheetViews>
  <sheetFormatPr defaultColWidth="9.140625" defaultRowHeight="19.5" x14ac:dyDescent="0.3"/>
  <cols>
    <col min="1" max="1" width="15.7109375" style="14" customWidth="1"/>
    <col min="2" max="2" width="160.28515625" style="15" customWidth="1"/>
    <col min="3" max="16384" width="9.140625" style="14"/>
  </cols>
  <sheetData>
    <row r="1" spans="1:1" x14ac:dyDescent="0.3">
      <c r="A1" s="13" t="s">
        <v>30</v>
      </c>
    </row>
    <row r="2" spans="1:1" x14ac:dyDescent="0.3">
      <c r="A2" s="14" t="s">
        <v>32</v>
      </c>
    </row>
    <row r="3" spans="1:1" x14ac:dyDescent="0.3">
      <c r="A3" s="14" t="s">
        <v>31</v>
      </c>
    </row>
    <row r="5" spans="1:1" x14ac:dyDescent="0.3">
      <c r="A5" s="16" t="s">
        <v>54</v>
      </c>
    </row>
    <row r="6" spans="1:1" x14ac:dyDescent="0.3">
      <c r="A6" s="17" t="s">
        <v>55</v>
      </c>
    </row>
    <row r="7" spans="1:1" x14ac:dyDescent="0.3">
      <c r="A7" s="13"/>
    </row>
    <row r="8" spans="1:1" x14ac:dyDescent="0.3">
      <c r="A8" s="13" t="s">
        <v>50</v>
      </c>
    </row>
    <row r="9" spans="1:1" x14ac:dyDescent="0.3">
      <c r="A9" s="14" t="s">
        <v>52</v>
      </c>
    </row>
    <row r="10" spans="1:1" x14ac:dyDescent="0.3">
      <c r="A10" s="14" t="s">
        <v>53</v>
      </c>
    </row>
    <row r="11" spans="1:1" x14ac:dyDescent="0.3">
      <c r="A11" s="14" t="s">
        <v>51</v>
      </c>
    </row>
    <row r="12" spans="1:1" x14ac:dyDescent="0.3">
      <c r="A12" s="13"/>
    </row>
    <row r="13" spans="1:1" x14ac:dyDescent="0.3">
      <c r="A13" s="14" t="s">
        <v>56</v>
      </c>
    </row>
    <row r="14" spans="1:1" x14ac:dyDescent="0.3">
      <c r="A14" s="14" t="s">
        <v>57</v>
      </c>
    </row>
    <row r="15" spans="1:1" x14ac:dyDescent="0.3">
      <c r="A15" s="13"/>
    </row>
    <row r="16" spans="1:1" ht="20.25" thickBot="1" x14ac:dyDescent="0.35">
      <c r="A16" s="13" t="s">
        <v>41</v>
      </c>
    </row>
    <row r="17" spans="1:2" ht="39" x14ac:dyDescent="0.3">
      <c r="A17" s="18" t="s">
        <v>33</v>
      </c>
      <c r="B17" s="19" t="s">
        <v>60</v>
      </c>
    </row>
    <row r="18" spans="1:2" ht="39" x14ac:dyDescent="0.3">
      <c r="A18" s="20"/>
      <c r="B18" s="21" t="s">
        <v>34</v>
      </c>
    </row>
    <row r="19" spans="1:2" ht="20.25" thickBot="1" x14ac:dyDescent="0.35">
      <c r="A19" s="22"/>
      <c r="B19" s="23" t="s">
        <v>61</v>
      </c>
    </row>
    <row r="20" spans="1:2" ht="39" x14ac:dyDescent="0.3">
      <c r="A20" s="18" t="s">
        <v>35</v>
      </c>
      <c r="B20" s="19" t="s">
        <v>62</v>
      </c>
    </row>
    <row r="21" spans="1:2" ht="39.75" thickBot="1" x14ac:dyDescent="0.35">
      <c r="A21" s="22"/>
      <c r="B21" s="23" t="s">
        <v>37</v>
      </c>
    </row>
    <row r="22" spans="1:2" x14ac:dyDescent="0.3">
      <c r="A22" s="18" t="s">
        <v>38</v>
      </c>
      <c r="B22" s="19" t="s">
        <v>63</v>
      </c>
    </row>
    <row r="23" spans="1:2" ht="20.25" thickBot="1" x14ac:dyDescent="0.35">
      <c r="A23" s="24"/>
      <c r="B23" s="23" t="s">
        <v>64</v>
      </c>
    </row>
    <row r="24" spans="1:2" ht="20.25" thickBot="1" x14ac:dyDescent="0.35">
      <c r="A24" s="25" t="s">
        <v>39</v>
      </c>
      <c r="B24" s="26" t="s">
        <v>65</v>
      </c>
    </row>
    <row r="25" spans="1:2" ht="20.25" thickBot="1" x14ac:dyDescent="0.35">
      <c r="A25" s="25" t="s">
        <v>40</v>
      </c>
      <c r="B25" s="26" t="s">
        <v>66</v>
      </c>
    </row>
    <row r="26" spans="1:2" ht="20.25" thickBot="1" x14ac:dyDescent="0.35">
      <c r="A26" s="25" t="s">
        <v>42</v>
      </c>
      <c r="B26" s="26" t="s">
        <v>43</v>
      </c>
    </row>
    <row r="27" spans="1:2" ht="20.25" thickBot="1" x14ac:dyDescent="0.35">
      <c r="A27" s="25" t="s">
        <v>44</v>
      </c>
      <c r="B27" s="26" t="s">
        <v>67</v>
      </c>
    </row>
    <row r="28" spans="1:2" ht="20.25" thickBot="1" x14ac:dyDescent="0.35">
      <c r="A28" s="25" t="s">
        <v>45</v>
      </c>
      <c r="B28" s="26" t="s">
        <v>46</v>
      </c>
    </row>
    <row r="29" spans="1:2" ht="20.25" thickBot="1" x14ac:dyDescent="0.35">
      <c r="A29" s="25" t="s">
        <v>47</v>
      </c>
      <c r="B29" s="26" t="s">
        <v>48</v>
      </c>
    </row>
    <row r="30" spans="1:2" x14ac:dyDescent="0.3">
      <c r="A30" s="13"/>
    </row>
    <row r="31" spans="1:2" x14ac:dyDescent="0.3">
      <c r="A31" s="13"/>
      <c r="B31" s="15" t="s">
        <v>68</v>
      </c>
    </row>
    <row r="32" spans="1:2" x14ac:dyDescent="0.3">
      <c r="A32" s="13"/>
      <c r="B32" s="15" t="s">
        <v>69</v>
      </c>
    </row>
    <row r="34" spans="1:1" x14ac:dyDescent="0.3">
      <c r="A34" s="13" t="s">
        <v>58</v>
      </c>
    </row>
    <row r="35" spans="1:1" x14ac:dyDescent="0.3">
      <c r="A35" s="13" t="s">
        <v>59</v>
      </c>
    </row>
  </sheetData>
  <phoneticPr fontId="9" type="noConversion"/>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C34"/>
  <sheetViews>
    <sheetView zoomScale="130" zoomScaleNormal="130" workbookViewId="0">
      <selection activeCell="E7" sqref="E7"/>
    </sheetView>
  </sheetViews>
  <sheetFormatPr defaultRowHeight="15.75" x14ac:dyDescent="0.25"/>
  <sheetData>
    <row r="1" spans="1:3" x14ac:dyDescent="0.25">
      <c r="A1" t="s">
        <v>49</v>
      </c>
    </row>
    <row r="2" spans="1:3" x14ac:dyDescent="0.25">
      <c r="A2" t="s">
        <v>21</v>
      </c>
      <c r="B2" t="s">
        <v>70</v>
      </c>
      <c r="C2">
        <v>30</v>
      </c>
    </row>
    <row r="3" spans="1:3" x14ac:dyDescent="0.25">
      <c r="A3" t="s">
        <v>22</v>
      </c>
      <c r="B3" t="s">
        <v>0</v>
      </c>
      <c r="C3">
        <v>2</v>
      </c>
    </row>
    <row r="5" spans="1:3" x14ac:dyDescent="0.25">
      <c r="B5" t="s">
        <v>15</v>
      </c>
      <c r="C5" t="s">
        <v>36</v>
      </c>
    </row>
    <row r="6" spans="1:3" x14ac:dyDescent="0.25">
      <c r="B6">
        <f t="shared" ref="B6:B34" ca="1" si="0">RANDBETWEEN(1,100)</f>
        <v>60</v>
      </c>
      <c r="C6">
        <f t="shared" ref="C6:C34" ca="1" si="1">intercept + B6 * slope</f>
        <v>150</v>
      </c>
    </row>
    <row r="7" spans="1:3" x14ac:dyDescent="0.25">
      <c r="B7">
        <f t="shared" ca="1" si="0"/>
        <v>99</v>
      </c>
      <c r="C7">
        <f t="shared" ca="1" si="1"/>
        <v>228</v>
      </c>
    </row>
    <row r="8" spans="1:3" x14ac:dyDescent="0.25">
      <c r="B8">
        <f t="shared" ca="1" si="0"/>
        <v>54</v>
      </c>
      <c r="C8">
        <f t="shared" ca="1" si="1"/>
        <v>138</v>
      </c>
    </row>
    <row r="9" spans="1:3" x14ac:dyDescent="0.25">
      <c r="B9">
        <f t="shared" ca="1" si="0"/>
        <v>95</v>
      </c>
      <c r="C9">
        <f t="shared" ca="1" si="1"/>
        <v>220</v>
      </c>
    </row>
    <row r="10" spans="1:3" x14ac:dyDescent="0.25">
      <c r="B10">
        <f t="shared" ca="1" si="0"/>
        <v>84</v>
      </c>
      <c r="C10">
        <f t="shared" ca="1" si="1"/>
        <v>198</v>
      </c>
    </row>
    <row r="11" spans="1:3" x14ac:dyDescent="0.25">
      <c r="B11">
        <f t="shared" ca="1" si="0"/>
        <v>35</v>
      </c>
      <c r="C11">
        <f t="shared" ca="1" si="1"/>
        <v>100</v>
      </c>
    </row>
    <row r="12" spans="1:3" x14ac:dyDescent="0.25">
      <c r="B12">
        <f t="shared" ca="1" si="0"/>
        <v>60</v>
      </c>
      <c r="C12">
        <f t="shared" ca="1" si="1"/>
        <v>150</v>
      </c>
    </row>
    <row r="13" spans="1:3" x14ac:dyDescent="0.25">
      <c r="B13">
        <f t="shared" ca="1" si="0"/>
        <v>71</v>
      </c>
      <c r="C13">
        <f t="shared" ca="1" si="1"/>
        <v>172</v>
      </c>
    </row>
    <row r="14" spans="1:3" x14ac:dyDescent="0.25">
      <c r="B14">
        <f t="shared" ca="1" si="0"/>
        <v>85</v>
      </c>
      <c r="C14">
        <f t="shared" ca="1" si="1"/>
        <v>200</v>
      </c>
    </row>
    <row r="15" spans="1:3" x14ac:dyDescent="0.25">
      <c r="B15">
        <f t="shared" ca="1" si="0"/>
        <v>36</v>
      </c>
      <c r="C15">
        <f t="shared" ca="1" si="1"/>
        <v>102</v>
      </c>
    </row>
    <row r="16" spans="1:3" x14ac:dyDescent="0.25">
      <c r="B16">
        <f t="shared" ca="1" si="0"/>
        <v>68</v>
      </c>
      <c r="C16">
        <f t="shared" ca="1" si="1"/>
        <v>166</v>
      </c>
    </row>
    <row r="17" spans="2:3" x14ac:dyDescent="0.25">
      <c r="B17">
        <f t="shared" ca="1" si="0"/>
        <v>20</v>
      </c>
      <c r="C17">
        <f t="shared" ca="1" si="1"/>
        <v>70</v>
      </c>
    </row>
    <row r="18" spans="2:3" x14ac:dyDescent="0.25">
      <c r="B18">
        <f t="shared" ca="1" si="0"/>
        <v>80</v>
      </c>
      <c r="C18">
        <f t="shared" ca="1" si="1"/>
        <v>190</v>
      </c>
    </row>
    <row r="19" spans="2:3" x14ac:dyDescent="0.25">
      <c r="B19">
        <f t="shared" ca="1" si="0"/>
        <v>4</v>
      </c>
      <c r="C19">
        <f t="shared" ca="1" si="1"/>
        <v>38</v>
      </c>
    </row>
    <row r="20" spans="2:3" x14ac:dyDescent="0.25">
      <c r="B20">
        <f t="shared" ca="1" si="0"/>
        <v>7</v>
      </c>
      <c r="C20">
        <f t="shared" ca="1" si="1"/>
        <v>44</v>
      </c>
    </row>
    <row r="21" spans="2:3" x14ac:dyDescent="0.25">
      <c r="B21">
        <f t="shared" ca="1" si="0"/>
        <v>87</v>
      </c>
      <c r="C21">
        <f t="shared" ca="1" si="1"/>
        <v>204</v>
      </c>
    </row>
    <row r="22" spans="2:3" x14ac:dyDescent="0.25">
      <c r="B22">
        <f t="shared" ca="1" si="0"/>
        <v>75</v>
      </c>
      <c r="C22">
        <f t="shared" ca="1" si="1"/>
        <v>180</v>
      </c>
    </row>
    <row r="23" spans="2:3" x14ac:dyDescent="0.25">
      <c r="B23">
        <f t="shared" ca="1" si="0"/>
        <v>31</v>
      </c>
      <c r="C23">
        <f t="shared" ca="1" si="1"/>
        <v>92</v>
      </c>
    </row>
    <row r="24" spans="2:3" x14ac:dyDescent="0.25">
      <c r="B24">
        <f t="shared" ca="1" si="0"/>
        <v>37</v>
      </c>
      <c r="C24">
        <f t="shared" ca="1" si="1"/>
        <v>104</v>
      </c>
    </row>
    <row r="25" spans="2:3" x14ac:dyDescent="0.25">
      <c r="B25">
        <f t="shared" ca="1" si="0"/>
        <v>77</v>
      </c>
      <c r="C25">
        <f t="shared" ca="1" si="1"/>
        <v>184</v>
      </c>
    </row>
    <row r="26" spans="2:3" x14ac:dyDescent="0.25">
      <c r="B26">
        <f t="shared" ca="1" si="0"/>
        <v>45</v>
      </c>
      <c r="C26">
        <f t="shared" ca="1" si="1"/>
        <v>120</v>
      </c>
    </row>
    <row r="27" spans="2:3" x14ac:dyDescent="0.25">
      <c r="B27">
        <f t="shared" ca="1" si="0"/>
        <v>67</v>
      </c>
      <c r="C27">
        <f t="shared" ca="1" si="1"/>
        <v>164</v>
      </c>
    </row>
    <row r="28" spans="2:3" x14ac:dyDescent="0.25">
      <c r="B28">
        <f t="shared" ca="1" si="0"/>
        <v>61</v>
      </c>
      <c r="C28">
        <f t="shared" ca="1" si="1"/>
        <v>152</v>
      </c>
    </row>
    <row r="29" spans="2:3" x14ac:dyDescent="0.25">
      <c r="B29">
        <f t="shared" ca="1" si="0"/>
        <v>58</v>
      </c>
      <c r="C29">
        <f t="shared" ca="1" si="1"/>
        <v>146</v>
      </c>
    </row>
    <row r="30" spans="2:3" x14ac:dyDescent="0.25">
      <c r="B30">
        <f t="shared" ca="1" si="0"/>
        <v>68</v>
      </c>
      <c r="C30">
        <f t="shared" ca="1" si="1"/>
        <v>166</v>
      </c>
    </row>
    <row r="31" spans="2:3" x14ac:dyDescent="0.25">
      <c r="B31">
        <f t="shared" ca="1" si="0"/>
        <v>30</v>
      </c>
      <c r="C31">
        <f t="shared" ca="1" si="1"/>
        <v>90</v>
      </c>
    </row>
    <row r="32" spans="2:3" x14ac:dyDescent="0.25">
      <c r="B32">
        <f t="shared" ca="1" si="0"/>
        <v>61</v>
      </c>
      <c r="C32">
        <f t="shared" ca="1" si="1"/>
        <v>152</v>
      </c>
    </row>
    <row r="33" spans="2:3" x14ac:dyDescent="0.25">
      <c r="B33">
        <f t="shared" ca="1" si="0"/>
        <v>53</v>
      </c>
      <c r="C33">
        <f t="shared" ca="1" si="1"/>
        <v>136</v>
      </c>
    </row>
    <row r="34" spans="2:3" x14ac:dyDescent="0.25">
      <c r="B34">
        <f t="shared" ca="1" si="0"/>
        <v>72</v>
      </c>
      <c r="C34">
        <f t="shared" ca="1" si="1"/>
        <v>174</v>
      </c>
    </row>
  </sheetData>
  <phoneticPr fontId="9" type="noConversion"/>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42"/>
  <sheetViews>
    <sheetView tabSelected="1" zoomScale="130" zoomScaleNormal="130" workbookViewId="0">
      <pane ySplit="3" topLeftCell="A28" activePane="bottomLeft" state="frozen"/>
      <selection pane="bottomLeft" activeCell="K40" sqref="K40"/>
    </sheetView>
  </sheetViews>
  <sheetFormatPr defaultRowHeight="15.75" x14ac:dyDescent="0.25"/>
  <cols>
    <col min="1" max="1" width="7" customWidth="1"/>
    <col min="2" max="2" width="7.85546875" bestFit="1" customWidth="1"/>
    <col min="3" max="3" width="10.28515625" customWidth="1"/>
    <col min="4" max="4" width="7.140625" customWidth="1"/>
    <col min="5" max="5" width="8.5703125" customWidth="1"/>
    <col min="6" max="6" width="7" customWidth="1"/>
    <col min="7" max="7" width="9.85546875" bestFit="1" customWidth="1"/>
    <col min="8" max="8" width="11.140625" bestFit="1" customWidth="1"/>
    <col min="9" max="9" width="10.85546875" customWidth="1"/>
    <col min="10" max="10" width="10.42578125" customWidth="1"/>
    <col min="11" max="11" width="7.42578125" customWidth="1"/>
    <col min="12" max="12" width="12" customWidth="1"/>
    <col min="13" max="13" width="11.5703125" customWidth="1"/>
    <col min="14" max="14" width="12.85546875" customWidth="1"/>
  </cols>
  <sheetData>
    <row r="1" spans="1:14" ht="17.45" customHeight="1" x14ac:dyDescent="0.25">
      <c r="B1" t="s">
        <v>19</v>
      </c>
      <c r="C1">
        <v>2.9960475189505695</v>
      </c>
      <c r="E1" t="s">
        <v>14</v>
      </c>
      <c r="F1">
        <v>1E-4</v>
      </c>
      <c r="L1" t="s">
        <v>4</v>
      </c>
    </row>
    <row r="2" spans="1:14" ht="17.45" customHeight="1" x14ac:dyDescent="0.25">
      <c r="B2" t="s">
        <v>0</v>
      </c>
      <c r="C2">
        <v>1</v>
      </c>
      <c r="H2" t="s">
        <v>3</v>
      </c>
      <c r="K2" t="s">
        <v>5</v>
      </c>
    </row>
    <row r="3" spans="1:14" s="2" customFormat="1" x14ac:dyDescent="0.25">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5">
      <c r="A4">
        <v>14</v>
      </c>
      <c r="B4">
        <v>58</v>
      </c>
      <c r="C4">
        <f>C1</f>
        <v>2.9960475189505695</v>
      </c>
      <c r="D4">
        <f>slope</f>
        <v>1</v>
      </c>
      <c r="E4">
        <f>表格2[[#This Row],[intercept]]+表格2[[#This Row],[slope]]*表格2[[#This Row],[x]]</f>
        <v>16.996047518950569</v>
      </c>
      <c r="F4" s="1">
        <f>(表格2[[#This Row],[y]]-表格2[[#This Row],[y_pred]])^2</f>
        <v>1681.3241190681599</v>
      </c>
      <c r="G4" s="3">
        <f>(((表格2[[#This Row],[intercept]]+0.01)+表格2[[#This Row],[x]]*表格2[[#This Row],[slope]])-表格2[[#This Row],[y]])^2</f>
        <v>1680.5041400185389</v>
      </c>
      <c r="H4" s="3">
        <f>(表格2[[#This Row],[errb1]]-表格2[[#This Row],[err^2]])/0.01</f>
        <v>-81.99790496209971</v>
      </c>
      <c r="I4" s="3">
        <f>(((表格2[[#This Row],[slope]]+0.01)*表格2[[#This Row],[x]]+表格2[[#This Row],[intercept]])-表格2[[#This Row],[y]])^2</f>
        <v>1669.8626123734659</v>
      </c>
      <c r="J4" s="3">
        <f>(表格2[[#This Row],[erra1]]-表格2[[#This Row],[err^2]])/0.01</f>
        <v>-1146.1506694693981</v>
      </c>
      <c r="K4" s="3">
        <f>2*(表格2[[#This Row],[y_pred]]-表格2[[#This Row],[y]])</f>
        <v>-82.007904962098863</v>
      </c>
      <c r="L4" s="3">
        <f>表格2[[#This Row],[de/db]]*表格2[[#This Row],[x]]</f>
        <v>-1148.110669469384</v>
      </c>
      <c r="M4" s="3">
        <f>表格2[[#This Row],[slope]]-表格2[[#This Row],[de/da]]*learning_rate_SGD</f>
        <v>1.1148110669469384</v>
      </c>
      <c r="N4" s="3">
        <f>表格2[[#This Row],[intercept]]-表格2[[#This Row],[de/db]]*learning_rate_SGD</f>
        <v>3.0042483094467793</v>
      </c>
    </row>
    <row r="5" spans="1:14" x14ac:dyDescent="0.25">
      <c r="A5">
        <v>86</v>
      </c>
      <c r="B5">
        <v>202</v>
      </c>
      <c r="C5" s="3">
        <f>N4</f>
        <v>3.0042483094467793</v>
      </c>
      <c r="D5">
        <f>slope</f>
        <v>1</v>
      </c>
      <c r="E5">
        <f>表格2[[#This Row],[intercept]]+表格2[[#This Row],[slope]]*表格2[[#This Row],[x]]</f>
        <v>89.00424830944678</v>
      </c>
      <c r="F5" s="1">
        <f>(表格2[[#This Row],[y]]-表格2[[#This Row],[y_pred]])^2</f>
        <v>12768.039900113161</v>
      </c>
      <c r="G5" s="3">
        <f>(((表格2[[#This Row],[intercept]]+0.01)+表格2[[#This Row],[x]]*表格2[[#This Row],[slope]])-表格2[[#This Row],[y]])^2</f>
        <v>12765.780085079348</v>
      </c>
      <c r="H5" s="3">
        <f>(表格2[[#This Row],[errb1]]-表格2[[#This Row],[err^2]])/0.01</f>
        <v>-225.98150338126288</v>
      </c>
      <c r="I5" s="3">
        <f>(((表格2[[#This Row],[slope]]+0.01)*表格2[[#This Row],[x]]+表格2[[#This Row],[intercept]])-表格2[[#This Row],[y]])^2</f>
        <v>12574.426807205409</v>
      </c>
      <c r="J5" s="3">
        <f>(表格2[[#This Row],[erra1]]-表格2[[#This Row],[err^2]])/0.01</f>
        <v>-19361.309290775171</v>
      </c>
      <c r="K5" s="3">
        <f>2*(表格2[[#This Row],[y_pred]]-表格2[[#This Row],[y]])</f>
        <v>-225.99150338110644</v>
      </c>
      <c r="L5" s="3">
        <f>表格2[[#This Row],[de/db]]*表格2[[#This Row],[x]]</f>
        <v>-19435.269290775155</v>
      </c>
      <c r="M5" s="3">
        <f>表格2[[#This Row],[slope]]-表格2[[#This Row],[de/da]]*learning_rate_SGD</f>
        <v>2.9435269290775157</v>
      </c>
      <c r="N5" s="3">
        <f>表格2[[#This Row],[intercept]]-表格2[[#This Row],[de/db]]*learning_rate_SGD</f>
        <v>3.0268474597848898</v>
      </c>
    </row>
    <row r="6" spans="1:14" x14ac:dyDescent="0.25">
      <c r="A6">
        <v>28</v>
      </c>
      <c r="B6">
        <v>86</v>
      </c>
      <c r="C6" s="3">
        <f t="shared" ref="C6:C32" si="0">N5</f>
        <v>3.0268474597848898</v>
      </c>
      <c r="D6">
        <f>slope</f>
        <v>1</v>
      </c>
      <c r="E6">
        <f>表格2[[#This Row],[intercept]]+表格2[[#This Row],[slope]]*表格2[[#This Row],[x]]</f>
        <v>31.026847459784889</v>
      </c>
      <c r="F6" s="1">
        <f>(表格2[[#This Row],[y]]-表格2[[#This Row],[y_pred]])^2</f>
        <v>3022.0475002097592</v>
      </c>
      <c r="G6" s="3">
        <f>(((表格2[[#This Row],[intercept]]+0.01)+表格2[[#This Row],[x]]*表格2[[#This Row],[slope]])-表格2[[#This Row],[y]])^2</f>
        <v>3020.9481371589541</v>
      </c>
      <c r="H6" s="3">
        <f>(表格2[[#This Row],[errb1]]-表格2[[#This Row],[err^2]])/0.01</f>
        <v>-109.93630508050956</v>
      </c>
      <c r="I6" s="3">
        <f>(((表格2[[#This Row],[slope]]+0.01)*表格2[[#This Row],[x]]+表格2[[#This Row],[intercept]])-表格2[[#This Row],[y]])^2</f>
        <v>2991.3409347872384</v>
      </c>
      <c r="J6" s="3">
        <f>(表格2[[#This Row],[erra1]]-表格2[[#This Row],[err^2]])/0.01</f>
        <v>-3070.6565422520725</v>
      </c>
      <c r="K6" s="3">
        <f>2*(表格2[[#This Row],[y_pred]]-表格2[[#This Row],[y]])</f>
        <v>-109.94630508043022</v>
      </c>
      <c r="L6" s="3">
        <f>表格2[[#This Row],[de/db]]*表格2[[#This Row],[x]]</f>
        <v>-3078.4965422520463</v>
      </c>
      <c r="M6" s="3">
        <f>表格2[[#This Row],[slope]]-表格2[[#This Row],[de/da]]*learning_rate_SGD</f>
        <v>1.3078496542252047</v>
      </c>
      <c r="N6" s="3">
        <f>表格2[[#This Row],[intercept]]-表格2[[#This Row],[de/db]]*learning_rate_SGD</f>
        <v>3.0378420902929326</v>
      </c>
    </row>
    <row r="7" spans="1:14" x14ac:dyDescent="0.25">
      <c r="A7">
        <v>51</v>
      </c>
      <c r="B7">
        <v>132</v>
      </c>
      <c r="C7" s="3">
        <f t="shared" si="0"/>
        <v>3.0378420902929326</v>
      </c>
      <c r="D7">
        <f>slope</f>
        <v>1</v>
      </c>
      <c r="E7">
        <f>表格2[[#This Row],[intercept]]+表格2[[#This Row],[slope]]*表格2[[#This Row],[x]]</f>
        <v>54.037842090292934</v>
      </c>
      <c r="F7" s="1">
        <f>(表格2[[#This Row],[y]]-表格2[[#This Row],[y_pred]])^2</f>
        <v>6078.0980659380994</v>
      </c>
      <c r="G7" s="3">
        <f>(((表格2[[#This Row],[intercept]]+0.01)+表格2[[#This Row],[x]]*表格2[[#This Row],[slope]])-表格2[[#This Row],[y]])^2</f>
        <v>6076.538922779906</v>
      </c>
      <c r="H7" s="3">
        <f>(表格2[[#This Row],[errb1]]-表格2[[#This Row],[err^2]])/0.01</f>
        <v>-155.91431581933648</v>
      </c>
      <c r="I7" s="3">
        <f>(((表格2[[#This Row],[slope]]+0.01)*表格2[[#This Row],[x]]+表格2[[#This Row],[intercept]])-表格2[[#This Row],[y]])^2</f>
        <v>5998.8367648701997</v>
      </c>
      <c r="J7" s="3">
        <f>(表格2[[#This Row],[erra1]]-表格2[[#This Row],[err^2]])/0.01</f>
        <v>-7926.1301067899694</v>
      </c>
      <c r="K7" s="3">
        <f>2*(表格2[[#This Row],[y_pred]]-表格2[[#This Row],[y]])</f>
        <v>-155.92431581941412</v>
      </c>
      <c r="L7" s="3">
        <f>表格2[[#This Row],[de/db]]*表格2[[#This Row],[x]]</f>
        <v>-7952.1401067901197</v>
      </c>
      <c r="M7" s="3">
        <f>表格2[[#This Row],[slope]]-表格2[[#This Row],[de/da]]*learning_rate_SGD</f>
        <v>1.795214010679012</v>
      </c>
      <c r="N7" s="3">
        <f>表格2[[#This Row],[intercept]]-表格2[[#This Row],[de/db]]*learning_rate_SGD</f>
        <v>3.0534345218748742</v>
      </c>
    </row>
    <row r="8" spans="1:14" x14ac:dyDescent="0.25">
      <c r="A8">
        <v>28</v>
      </c>
      <c r="B8">
        <v>86</v>
      </c>
      <c r="C8" s="3">
        <f t="shared" si="0"/>
        <v>3.0534345218748742</v>
      </c>
      <c r="D8">
        <f>slope</f>
        <v>1</v>
      </c>
      <c r="E8">
        <f>表格2[[#This Row],[intercept]]+表格2[[#This Row],[slope]]*表格2[[#This Row],[x]]</f>
        <v>31.053434521874873</v>
      </c>
      <c r="F8" s="1">
        <f>(表格2[[#This Row],[y]]-表格2[[#This Row],[y_pred]])^2</f>
        <v>3019.1250578418917</v>
      </c>
      <c r="G8" s="3">
        <f>(((表格2[[#This Row],[intercept]]+0.01)+表格2[[#This Row],[x]]*表格2[[#This Row],[slope]])-表格2[[#This Row],[y]])^2</f>
        <v>3018.0262265323295</v>
      </c>
      <c r="H8" s="3">
        <f>(表格2[[#This Row],[errb1]]-表格2[[#This Row],[err^2]])/0.01</f>
        <v>-109.88313095622289</v>
      </c>
      <c r="I8" s="3">
        <f>(((表格2[[#This Row],[slope]]+0.01)*表格2[[#This Row],[x]]+表格2[[#This Row],[intercept]])-表格2[[#This Row],[y]])^2</f>
        <v>2988.4333811741412</v>
      </c>
      <c r="J8" s="3">
        <f>(表格2[[#This Row],[erra1]]-表格2[[#This Row],[err^2]])/0.01</f>
        <v>-3069.1676667750471</v>
      </c>
      <c r="K8" s="3">
        <f>2*(表格2[[#This Row],[y_pred]]-表格2[[#This Row],[y]])</f>
        <v>-109.89313095625025</v>
      </c>
      <c r="L8" s="3">
        <f>表格2[[#This Row],[de/db]]*表格2[[#This Row],[x]]</f>
        <v>-3077.0076667750068</v>
      </c>
      <c r="M8" s="3">
        <f>表格2[[#This Row],[slope]]-表格2[[#This Row],[de/da]]*learning_rate_SGD</f>
        <v>1.3077007666775007</v>
      </c>
      <c r="N8" s="3">
        <f>表格2[[#This Row],[intercept]]-表格2[[#This Row],[de/db]]*learning_rate_SGD</f>
        <v>3.0644238349704991</v>
      </c>
    </row>
    <row r="9" spans="1:14" x14ac:dyDescent="0.25">
      <c r="A9">
        <v>29</v>
      </c>
      <c r="B9">
        <v>88</v>
      </c>
      <c r="C9" s="3">
        <f t="shared" si="0"/>
        <v>3.0644238349704991</v>
      </c>
      <c r="D9">
        <f>slope</f>
        <v>1</v>
      </c>
      <c r="E9">
        <f>表格2[[#This Row],[intercept]]+表格2[[#This Row],[slope]]*表格2[[#This Row],[x]]</f>
        <v>32.064423834970498</v>
      </c>
      <c r="F9" s="1">
        <f>(表格2[[#This Row],[y]]-表格2[[#This Row],[y_pred]])^2</f>
        <v>3128.7886809138167</v>
      </c>
      <c r="G9" s="3">
        <f>(((表格2[[#This Row],[intercept]]+0.01)+表格2[[#This Row],[x]]*表格2[[#This Row],[slope]])-表格2[[#This Row],[y]])^2</f>
        <v>3127.6700693905163</v>
      </c>
      <c r="H9" s="3">
        <f>(表格2[[#This Row],[errb1]]-表格2[[#This Row],[err^2]])/0.01</f>
        <v>-111.86115233003875</v>
      </c>
      <c r="I9" s="3">
        <f>(((表格2[[#This Row],[slope]]+0.01)*表格2[[#This Row],[x]]+表格2[[#This Row],[intercept]])-表格2[[#This Row],[y]])^2</f>
        <v>3096.4301467380997</v>
      </c>
      <c r="J9" s="3">
        <f>(表格2[[#This Row],[erra1]]-表格2[[#This Row],[err^2]])/0.01</f>
        <v>-3235.8534175717068</v>
      </c>
      <c r="K9" s="3">
        <f>2*(表格2[[#This Row],[y_pred]]-表格2[[#This Row],[y]])</f>
        <v>-111.871152330059</v>
      </c>
      <c r="L9" s="3">
        <f>表格2[[#This Row],[de/db]]*表格2[[#This Row],[x]]</f>
        <v>-3244.2634175717112</v>
      </c>
      <c r="M9" s="3">
        <f>表格2[[#This Row],[slope]]-表格2[[#This Row],[de/da]]*learning_rate_SGD</f>
        <v>1.3244263417571711</v>
      </c>
      <c r="N9" s="3">
        <f>表格2[[#This Row],[intercept]]-表格2[[#This Row],[de/db]]*learning_rate_SGD</f>
        <v>3.0756109502035049</v>
      </c>
    </row>
    <row r="10" spans="1:14" x14ac:dyDescent="0.25">
      <c r="A10">
        <v>72</v>
      </c>
      <c r="B10">
        <v>174</v>
      </c>
      <c r="C10" s="3">
        <f t="shared" si="0"/>
        <v>3.0756109502035049</v>
      </c>
      <c r="D10">
        <f>slope</f>
        <v>1</v>
      </c>
      <c r="E10">
        <f>表格2[[#This Row],[intercept]]+表格2[[#This Row],[slope]]*表格2[[#This Row],[x]]</f>
        <v>75.075610950203512</v>
      </c>
      <c r="F10" s="1">
        <f>(表格2[[#This Row],[y]]-表格2[[#This Row],[y_pred]])^2</f>
        <v>9786.034748875496</v>
      </c>
      <c r="G10" s="3">
        <f>(((表格2[[#This Row],[intercept]]+0.01)+表格2[[#This Row],[x]]*表格2[[#This Row],[slope]])-表格2[[#This Row],[y]])^2</f>
        <v>9784.056361094501</v>
      </c>
      <c r="H10" s="3">
        <f>(表格2[[#This Row],[errb1]]-表格2[[#This Row],[err^2]])/0.01</f>
        <v>-197.83877809950354</v>
      </c>
      <c r="I10" s="3">
        <f>(((表格2[[#This Row],[slope]]+0.01)*表格2[[#This Row],[x]]+表格2[[#This Row],[intercept]])-表格2[[#This Row],[y]])^2</f>
        <v>9644.1020286437888</v>
      </c>
      <c r="J10" s="3">
        <f>(表格2[[#This Row],[erra1]]-表格2[[#This Row],[err^2]])/0.01</f>
        <v>-14193.272023170721</v>
      </c>
      <c r="K10" s="3">
        <f>2*(表格2[[#This Row],[y_pred]]-表格2[[#This Row],[y]])</f>
        <v>-197.84877809959298</v>
      </c>
      <c r="L10" s="3">
        <f>表格2[[#This Row],[de/db]]*表格2[[#This Row],[x]]</f>
        <v>-14245.112023170694</v>
      </c>
      <c r="M10" s="3">
        <f>表格2[[#This Row],[slope]]-表格2[[#This Row],[de/da]]*learning_rate_SGD</f>
        <v>2.4245112023170696</v>
      </c>
      <c r="N10" s="3">
        <f>表格2[[#This Row],[intercept]]-表格2[[#This Row],[de/db]]*learning_rate_SGD</f>
        <v>3.0953958280134644</v>
      </c>
    </row>
    <row r="11" spans="1:14" x14ac:dyDescent="0.25">
      <c r="A11">
        <v>62</v>
      </c>
      <c r="B11">
        <v>154</v>
      </c>
      <c r="C11" s="3">
        <f t="shared" si="0"/>
        <v>3.0953958280134644</v>
      </c>
      <c r="D11">
        <f>slope</f>
        <v>1</v>
      </c>
      <c r="E11">
        <f>表格2[[#This Row],[intercept]]+表格2[[#This Row],[slope]]*表格2[[#This Row],[x]]</f>
        <v>65.095395828013466</v>
      </c>
      <c r="F11" s="1">
        <f>(表格2[[#This Row],[y]]-表格2[[#This Row],[y_pred]])^2</f>
        <v>7904.0286429776052</v>
      </c>
      <c r="G11" s="3">
        <f>(((表格2[[#This Row],[intercept]]+0.01)+表格2[[#This Row],[x]]*表格2[[#This Row],[slope]])-表格2[[#This Row],[y]])^2</f>
        <v>7902.2506508941651</v>
      </c>
      <c r="H11" s="3">
        <f>(表格2[[#This Row],[errb1]]-表格2[[#This Row],[err^2]])/0.01</f>
        <v>-177.799208344004</v>
      </c>
      <c r="I11" s="3">
        <f>(((表格2[[#This Row],[slope]]+0.01)*表格2[[#This Row],[x]]+表格2[[#This Row],[intercept]])-表格2[[#This Row],[y]])^2</f>
        <v>7794.1713338043437</v>
      </c>
      <c r="J11" s="3">
        <f>(表格2[[#This Row],[erra1]]-表格2[[#This Row],[err^2]])/0.01</f>
        <v>-10985.730917326146</v>
      </c>
      <c r="K11" s="3">
        <f>2*(表格2[[#This Row],[y_pred]]-表格2[[#This Row],[y]])</f>
        <v>-177.80920834397307</v>
      </c>
      <c r="L11" s="3">
        <f>表格2[[#This Row],[de/db]]*表格2[[#This Row],[x]]</f>
        <v>-11024.17091732633</v>
      </c>
      <c r="M11" s="3">
        <f>表格2[[#This Row],[slope]]-表格2[[#This Row],[de/da]]*learning_rate_SGD</f>
        <v>2.102417091732633</v>
      </c>
      <c r="N11" s="3">
        <f>表格2[[#This Row],[intercept]]-表格2[[#This Row],[de/db]]*learning_rate_SGD</f>
        <v>3.1131767488478617</v>
      </c>
    </row>
    <row r="12" spans="1:14" x14ac:dyDescent="0.25">
      <c r="A12">
        <v>84</v>
      </c>
      <c r="B12">
        <v>198</v>
      </c>
      <c r="C12" s="3">
        <f t="shared" si="0"/>
        <v>3.1131767488478617</v>
      </c>
      <c r="D12">
        <f>slope</f>
        <v>1</v>
      </c>
      <c r="E12">
        <f>表格2[[#This Row],[intercept]]+表格2[[#This Row],[slope]]*表格2[[#This Row],[x]]</f>
        <v>87.113176748847863</v>
      </c>
      <c r="F12" s="1">
        <f>(表格2[[#This Row],[y]]-表格2[[#This Row],[y_pred]])^2</f>
        <v>12295.887570732255</v>
      </c>
      <c r="G12" s="3">
        <f>(((表格2[[#This Row],[intercept]]+0.01)+表格2[[#This Row],[x]]*表格2[[#This Row],[slope]])-表格2[[#This Row],[y]])^2</f>
        <v>12293.669934267229</v>
      </c>
      <c r="H12" s="3">
        <f>(表格2[[#This Row],[errb1]]-表格2[[#This Row],[err^2]])/0.01</f>
        <v>-221.7636465025862</v>
      </c>
      <c r="I12" s="3">
        <f>(((表格2[[#This Row],[slope]]+0.01)*表格2[[#This Row],[x]]+表格2[[#This Row],[intercept]])-表格2[[#This Row],[y]])^2</f>
        <v>12110.303307670318</v>
      </c>
      <c r="J12" s="3">
        <f>(表格2[[#This Row],[erra1]]-表格2[[#This Row],[err^2]])/0.01</f>
        <v>-18558.426306193724</v>
      </c>
      <c r="K12" s="3">
        <f>2*(表格2[[#This Row],[y_pred]]-表格2[[#This Row],[y]])</f>
        <v>-221.77364650230427</v>
      </c>
      <c r="L12" s="3">
        <f>表格2[[#This Row],[de/db]]*表格2[[#This Row],[x]]</f>
        <v>-18628.986306193558</v>
      </c>
      <c r="M12" s="3">
        <f>表格2[[#This Row],[slope]]-表格2[[#This Row],[de/da]]*learning_rate_SGD</f>
        <v>2.8628986306193558</v>
      </c>
      <c r="N12" s="3">
        <f>表格2[[#This Row],[intercept]]-表格2[[#This Row],[de/db]]*learning_rate_SGD</f>
        <v>3.1353541134980922</v>
      </c>
    </row>
    <row r="13" spans="1:14" x14ac:dyDescent="0.25">
      <c r="A13">
        <v>15</v>
      </c>
      <c r="B13">
        <v>60</v>
      </c>
      <c r="C13" s="3">
        <f t="shared" si="0"/>
        <v>3.1353541134980922</v>
      </c>
      <c r="D13">
        <f>slope</f>
        <v>1</v>
      </c>
      <c r="E13">
        <f>表格2[[#This Row],[intercept]]+表格2[[#This Row],[slope]]*表格2[[#This Row],[x]]</f>
        <v>18.135354113498092</v>
      </c>
      <c r="F13" s="1">
        <f>(表格2[[#This Row],[y]]-表格2[[#This Row],[y_pred]])^2</f>
        <v>1752.6485752022008</v>
      </c>
      <c r="G13" s="3">
        <f>(((表格2[[#This Row],[intercept]]+0.01)+表格2[[#This Row],[x]]*表格2[[#This Row],[slope]])-表格2[[#This Row],[y]])^2</f>
        <v>1751.8113822844709</v>
      </c>
      <c r="H13" s="3">
        <f>(表格2[[#This Row],[errb1]]-表格2[[#This Row],[err^2]])/0.01</f>
        <v>-83.7192917729908</v>
      </c>
      <c r="I13" s="3">
        <f>(((表格2[[#This Row],[slope]]+0.01)*表格2[[#This Row],[x]]+表格2[[#This Row],[intercept]])-表格2[[#This Row],[y]])^2</f>
        <v>1740.1116814362504</v>
      </c>
      <c r="J13" s="3">
        <f>(表格2[[#This Row],[erra1]]-表格2[[#This Row],[err^2]])/0.01</f>
        <v>-1253.6893765950481</v>
      </c>
      <c r="K13" s="3">
        <f>2*(表格2[[#This Row],[y_pred]]-表格2[[#This Row],[y]])</f>
        <v>-83.729291773003808</v>
      </c>
      <c r="L13" s="3">
        <f>表格2[[#This Row],[de/db]]*表格2[[#This Row],[x]]</f>
        <v>-1255.9393765950572</v>
      </c>
      <c r="M13" s="3">
        <f>表格2[[#This Row],[slope]]-表格2[[#This Row],[de/da]]*learning_rate_SGD</f>
        <v>1.1255939376595057</v>
      </c>
      <c r="N13" s="3">
        <f>表格2[[#This Row],[intercept]]-表格2[[#This Row],[de/db]]*learning_rate_SGD</f>
        <v>3.1437270426753927</v>
      </c>
    </row>
    <row r="14" spans="1:14" x14ac:dyDescent="0.25">
      <c r="A14">
        <v>42</v>
      </c>
      <c r="B14">
        <v>114</v>
      </c>
      <c r="C14" s="3">
        <f t="shared" si="0"/>
        <v>3.1437270426753927</v>
      </c>
      <c r="D14">
        <f>slope</f>
        <v>1</v>
      </c>
      <c r="E14">
        <f>表格2[[#This Row],[intercept]]+表格2[[#This Row],[slope]]*表格2[[#This Row],[x]]</f>
        <v>45.143727042675394</v>
      </c>
      <c r="F14" s="1">
        <f>(表格2[[#This Row],[y]]-表格2[[#This Row],[y_pred]])^2</f>
        <v>4741.1863255735916</v>
      </c>
      <c r="G14" s="3">
        <f>(((表格2[[#This Row],[intercept]]+0.01)+表格2[[#This Row],[x]]*表格2[[#This Row],[slope]])-表格2[[#This Row],[y]])^2</f>
        <v>4739.8093001144443</v>
      </c>
      <c r="H14" s="3">
        <f>(表格2[[#This Row],[errb1]]-表格2[[#This Row],[err^2]])/0.01</f>
        <v>-137.70254591472622</v>
      </c>
      <c r="I14" s="3">
        <f>(((表格2[[#This Row],[slope]]+0.01)*表格2[[#This Row],[x]]+表格2[[#This Row],[intercept]])-表格2[[#This Row],[y]])^2</f>
        <v>4683.5234562894393</v>
      </c>
      <c r="J14" s="3">
        <f>(表格2[[#This Row],[erra1]]-表格2[[#This Row],[err^2]])/0.01</f>
        <v>-5766.2869284152293</v>
      </c>
      <c r="K14" s="3">
        <f>2*(表格2[[#This Row],[y_pred]]-表格2[[#This Row],[y]])</f>
        <v>-137.71254591464921</v>
      </c>
      <c r="L14" s="3">
        <f>表格2[[#This Row],[de/db]]*表格2[[#This Row],[x]]</f>
        <v>-5783.926928415267</v>
      </c>
      <c r="M14" s="3">
        <f>表格2[[#This Row],[slope]]-表格2[[#This Row],[de/da]]*learning_rate_SGD</f>
        <v>1.5783926928415268</v>
      </c>
      <c r="N14" s="3">
        <f>表格2[[#This Row],[intercept]]-表格2[[#This Row],[de/db]]*learning_rate_SGD</f>
        <v>3.1574982972668577</v>
      </c>
    </row>
    <row r="15" spans="1:14" x14ac:dyDescent="0.25">
      <c r="A15">
        <v>62</v>
      </c>
      <c r="B15">
        <v>154</v>
      </c>
      <c r="C15" s="3">
        <f t="shared" si="0"/>
        <v>3.1574982972668577</v>
      </c>
      <c r="D15">
        <f>slope</f>
        <v>1</v>
      </c>
      <c r="E15">
        <f>表格2[[#This Row],[intercept]]+表格2[[#This Row],[slope]]*表格2[[#This Row],[x]]</f>
        <v>65.157498297266855</v>
      </c>
      <c r="F15" s="1">
        <f>(表格2[[#This Row],[y]]-表格2[[#This Row],[y_pred]])^2</f>
        <v>7892.9901088001416</v>
      </c>
      <c r="G15" s="3">
        <f>(((表格2[[#This Row],[intercept]]+0.01)+表格2[[#This Row],[x]]*表格2[[#This Row],[slope]])-表格2[[#This Row],[y]])^2</f>
        <v>7891.2133587660865</v>
      </c>
      <c r="H15" s="3">
        <f>(表格2[[#This Row],[errb1]]-表格2[[#This Row],[err^2]])/0.01</f>
        <v>-177.67500340551123</v>
      </c>
      <c r="I15" s="3">
        <f>(((表格2[[#This Row],[slope]]+0.01)*表格2[[#This Row],[x]]+表格2[[#This Row],[intercept]])-表格2[[#This Row],[y]])^2</f>
        <v>7783.209806688752</v>
      </c>
      <c r="J15" s="3">
        <f>(表格2[[#This Row],[erra1]]-表格2[[#This Row],[err^2]])/0.01</f>
        <v>-10978.030211138957</v>
      </c>
      <c r="K15" s="3">
        <f>2*(表格2[[#This Row],[y_pred]]-表格2[[#This Row],[y]])</f>
        <v>-177.68500340546629</v>
      </c>
      <c r="L15" s="3">
        <f>表格2[[#This Row],[de/db]]*表格2[[#This Row],[x]]</f>
        <v>-11016.470211138911</v>
      </c>
      <c r="M15" s="3">
        <f>表格2[[#This Row],[slope]]-表格2[[#This Row],[de/da]]*learning_rate_SGD</f>
        <v>2.1016470211138909</v>
      </c>
      <c r="N15" s="3">
        <f>表格2[[#This Row],[intercept]]-表格2[[#This Row],[de/db]]*learning_rate_SGD</f>
        <v>3.1752667976074043</v>
      </c>
    </row>
    <row r="16" spans="1:14" x14ac:dyDescent="0.25">
      <c r="A16">
        <v>47</v>
      </c>
      <c r="B16">
        <v>124</v>
      </c>
      <c r="C16" s="3">
        <f t="shared" si="0"/>
        <v>3.1752667976074043</v>
      </c>
      <c r="D16">
        <f>slope</f>
        <v>1</v>
      </c>
      <c r="E16">
        <f>表格2[[#This Row],[intercept]]+表格2[[#This Row],[slope]]*表格2[[#This Row],[x]]</f>
        <v>50.175266797607406</v>
      </c>
      <c r="F16" s="1">
        <f>(表格2[[#This Row],[y]]-表格2[[#This Row],[y_pred]])^2</f>
        <v>5450.0912324044475</v>
      </c>
      <c r="G16" s="3">
        <f>(((表格2[[#This Row],[intercept]]+0.01)+表格2[[#This Row],[x]]*表格2[[#This Row],[slope]])-表格2[[#This Row],[y]])^2</f>
        <v>5448.6148377404006</v>
      </c>
      <c r="H16" s="3">
        <f>(表格2[[#This Row],[errb1]]-表格2[[#This Row],[err^2]])/0.01</f>
        <v>-147.6394664046893</v>
      </c>
      <c r="I16" s="3">
        <f>(((表格2[[#This Row],[slope]]+0.01)*表格2[[#This Row],[x]]+表格2[[#This Row],[intercept]])-表格2[[#This Row],[y]])^2</f>
        <v>5380.9168831941988</v>
      </c>
      <c r="J16" s="3">
        <f>(表格2[[#This Row],[erra1]]-表格2[[#This Row],[err^2]])/0.01</f>
        <v>-6917.4349210248693</v>
      </c>
      <c r="K16" s="3">
        <f>2*(表格2[[#This Row],[y_pred]]-表格2[[#This Row],[y]])</f>
        <v>-147.64946640478519</v>
      </c>
      <c r="L16" s="3">
        <f>表格2[[#This Row],[de/db]]*表格2[[#This Row],[x]]</f>
        <v>-6939.524921024904</v>
      </c>
      <c r="M16" s="3">
        <f>表格2[[#This Row],[slope]]-表格2[[#This Row],[de/da]]*learning_rate_SGD</f>
        <v>1.6939524921024904</v>
      </c>
      <c r="N16" s="3">
        <f>表格2[[#This Row],[intercept]]-表格2[[#This Row],[de/db]]*learning_rate_SGD</f>
        <v>3.1900317442478827</v>
      </c>
    </row>
    <row r="17" spans="1:14" x14ac:dyDescent="0.25">
      <c r="A17">
        <v>35</v>
      </c>
      <c r="B17">
        <v>100</v>
      </c>
      <c r="C17" s="3">
        <f t="shared" si="0"/>
        <v>3.1900317442478827</v>
      </c>
      <c r="D17">
        <f>slope</f>
        <v>1</v>
      </c>
      <c r="E17">
        <f>表格2[[#This Row],[intercept]]+表格2[[#This Row],[slope]]*表格2[[#This Row],[x]]</f>
        <v>38.190031744247882</v>
      </c>
      <c r="F17" s="1">
        <f>(表格2[[#This Row],[y]]-表格2[[#This Row],[y_pred]])^2</f>
        <v>3820.4721757770844</v>
      </c>
      <c r="G17" s="3">
        <f>(((表格2[[#This Row],[intercept]]+0.01)+表格2[[#This Row],[x]]*表格2[[#This Row],[slope]])-表格2[[#This Row],[y]])^2</f>
        <v>3819.2360764119699</v>
      </c>
      <c r="H17" s="3">
        <f>(表格2[[#This Row],[errb1]]-表格2[[#This Row],[err^2]])/0.01</f>
        <v>-123.60993651145691</v>
      </c>
      <c r="I17" s="3">
        <f>(((表格2[[#This Row],[slope]]+0.01)*表格2[[#This Row],[x]]+表格2[[#This Row],[intercept]])-表格2[[#This Row],[y]])^2</f>
        <v>3777.3276979980578</v>
      </c>
      <c r="J17" s="3">
        <f>(表格2[[#This Row],[erra1]]-表格2[[#This Row],[err^2]])/0.01</f>
        <v>-4314.4477779026602</v>
      </c>
      <c r="K17" s="3">
        <f>2*(表格2[[#This Row],[y_pred]]-表格2[[#This Row],[y]])</f>
        <v>-123.61993651150424</v>
      </c>
      <c r="L17" s="3">
        <f>表格2[[#This Row],[de/db]]*表格2[[#This Row],[x]]</f>
        <v>-4326.6977779026483</v>
      </c>
      <c r="M17" s="3">
        <f>表格2[[#This Row],[slope]]-表格2[[#This Row],[de/da]]*learning_rate_SGD</f>
        <v>1.4326697777902648</v>
      </c>
      <c r="N17" s="3">
        <f>表格2[[#This Row],[intercept]]-表格2[[#This Row],[de/db]]*learning_rate_SGD</f>
        <v>3.2023937378990333</v>
      </c>
    </row>
    <row r="18" spans="1:14" x14ac:dyDescent="0.25">
      <c r="A18">
        <v>9</v>
      </c>
      <c r="B18">
        <v>48</v>
      </c>
      <c r="C18" s="3">
        <f t="shared" si="0"/>
        <v>3.2023937378990333</v>
      </c>
      <c r="D18">
        <f>slope</f>
        <v>1</v>
      </c>
      <c r="E18">
        <f>表格2[[#This Row],[intercept]]+表格2[[#This Row],[slope]]*表格2[[#This Row],[x]]</f>
        <v>12.202393737899033</v>
      </c>
      <c r="F18" s="1">
        <f>(表格2[[#This Row],[y]]-表格2[[#This Row],[y_pred]])^2</f>
        <v>1281.4686140964106</v>
      </c>
      <c r="G18" s="3">
        <f>(((表格2[[#This Row],[intercept]]+0.01)+表格2[[#This Row],[x]]*表格2[[#This Row],[slope]])-表格2[[#This Row],[y]])^2</f>
        <v>1280.7527619711682</v>
      </c>
      <c r="H18" s="3">
        <f>(表格2[[#This Row],[errb1]]-表格2[[#This Row],[err^2]])/0.01</f>
        <v>-71.585212524246344</v>
      </c>
      <c r="I18" s="3">
        <f>(((表格2[[#This Row],[slope]]+0.01)*表格2[[#This Row],[x]]+表格2[[#This Row],[intercept]])-表格2[[#This Row],[y]])^2</f>
        <v>1275.0331449692321</v>
      </c>
      <c r="J18" s="3">
        <f>(表格2[[#This Row],[erra1]]-表格2[[#This Row],[err^2]])/0.01</f>
        <v>-643.54691271785214</v>
      </c>
      <c r="K18" s="3">
        <f>2*(表格2[[#This Row],[y_pred]]-表格2[[#This Row],[y]])</f>
        <v>-71.595212524201941</v>
      </c>
      <c r="L18" s="3">
        <f>表格2[[#This Row],[de/db]]*表格2[[#This Row],[x]]</f>
        <v>-644.35691271781752</v>
      </c>
      <c r="M18" s="3">
        <f>表格2[[#This Row],[slope]]-表格2[[#This Row],[de/da]]*learning_rate_SGD</f>
        <v>1.0644356912717818</v>
      </c>
      <c r="N18" s="3">
        <f>表格2[[#This Row],[intercept]]-表格2[[#This Row],[de/db]]*learning_rate_SGD</f>
        <v>3.2095532591514533</v>
      </c>
    </row>
    <row r="19" spans="1:14" x14ac:dyDescent="0.25">
      <c r="A19">
        <v>38</v>
      </c>
      <c r="B19">
        <v>106</v>
      </c>
      <c r="C19" s="3">
        <f t="shared" si="0"/>
        <v>3.2095532591514533</v>
      </c>
      <c r="D19">
        <f>slope</f>
        <v>1</v>
      </c>
      <c r="E19">
        <f>表格2[[#This Row],[intercept]]+表格2[[#This Row],[slope]]*表格2[[#This Row],[x]]</f>
        <v>41.209553259151456</v>
      </c>
      <c r="F19" s="1">
        <f>(表格2[[#This Row],[y]]-表格2[[#This Row],[y_pred]])^2</f>
        <v>4197.801988878733</v>
      </c>
      <c r="G19" s="3">
        <f>(((表格2[[#This Row],[intercept]]+0.01)+表格2[[#This Row],[x]]*表格2[[#This Row],[slope]])-表格2[[#This Row],[y]])^2</f>
        <v>4196.5062799439147</v>
      </c>
      <c r="H19" s="3">
        <f>(表格2[[#This Row],[errb1]]-表格2[[#This Row],[err^2]])/0.01</f>
        <v>-129.57089348183217</v>
      </c>
      <c r="I19" s="3">
        <f>(((表格2[[#This Row],[slope]]+0.01)*表格2[[#This Row],[x]]+表格2[[#This Row],[intercept]])-表格2[[#This Row],[y]])^2</f>
        <v>4148.7056493556865</v>
      </c>
      <c r="J19" s="3">
        <f>(表格2[[#This Row],[erra1]]-表格2[[#This Row],[err^2]])/0.01</f>
        <v>-4909.6339523046481</v>
      </c>
      <c r="K19" s="3">
        <f>2*(表格2[[#This Row],[y_pred]]-表格2[[#This Row],[y]])</f>
        <v>-129.5808934816971</v>
      </c>
      <c r="L19" s="3">
        <f>表格2[[#This Row],[de/db]]*表格2[[#This Row],[x]]</f>
        <v>-4924.0739523044904</v>
      </c>
      <c r="M19" s="3">
        <f>表格2[[#This Row],[slope]]-表格2[[#This Row],[de/da]]*learning_rate_SGD</f>
        <v>1.4924073952304491</v>
      </c>
      <c r="N19" s="3">
        <f>表格2[[#This Row],[intercept]]-表格2[[#This Row],[de/db]]*learning_rate_SGD</f>
        <v>3.2225113484996228</v>
      </c>
    </row>
    <row r="20" spans="1:14" x14ac:dyDescent="0.25">
      <c r="A20">
        <v>44</v>
      </c>
      <c r="B20">
        <v>118</v>
      </c>
      <c r="C20" s="3">
        <f t="shared" si="0"/>
        <v>3.2225113484996228</v>
      </c>
      <c r="D20">
        <f>slope</f>
        <v>1</v>
      </c>
      <c r="E20">
        <f>表格2[[#This Row],[intercept]]+表格2[[#This Row],[slope]]*表格2[[#This Row],[x]]</f>
        <v>47.222511348499623</v>
      </c>
      <c r="F20" s="1">
        <f>(表格2[[#This Row],[y]]-表格2[[#This Row],[y_pred]])^2</f>
        <v>5009.4528998132646</v>
      </c>
      <c r="G20" s="3">
        <f>(((表格2[[#This Row],[intercept]]+0.01)+表格2[[#This Row],[x]]*表格2[[#This Row],[slope]])-表格2[[#This Row],[y]])^2</f>
        <v>5008.037450040234</v>
      </c>
      <c r="H20" s="3">
        <f>(表格2[[#This Row],[errb1]]-表格2[[#This Row],[err^2]])/0.01</f>
        <v>-141.54497730305593</v>
      </c>
      <c r="I20" s="3">
        <f>(((表格2[[#This Row],[slope]]+0.01)*表格2[[#This Row],[x]]+表格2[[#This Row],[intercept]])-表格2[[#This Row],[y]])^2</f>
        <v>4947.3623097999443</v>
      </c>
      <c r="J20" s="3">
        <f>(表格2[[#This Row],[erra1]]-表格2[[#This Row],[err^2]])/0.01</f>
        <v>-6209.0590013320252</v>
      </c>
      <c r="K20" s="3">
        <f>2*(表格2[[#This Row],[y_pred]]-表格2[[#This Row],[y]])</f>
        <v>-141.55497730300075</v>
      </c>
      <c r="L20" s="3">
        <f>表格2[[#This Row],[de/db]]*表格2[[#This Row],[x]]</f>
        <v>-6228.4190013320331</v>
      </c>
      <c r="M20" s="3">
        <f>表格2[[#This Row],[slope]]-表格2[[#This Row],[de/da]]*learning_rate_SGD</f>
        <v>1.6228419001332033</v>
      </c>
      <c r="N20" s="3">
        <f>表格2[[#This Row],[intercept]]-表格2[[#This Row],[de/db]]*learning_rate_SGD</f>
        <v>3.2366668462299231</v>
      </c>
    </row>
    <row r="21" spans="1:14" x14ac:dyDescent="0.25">
      <c r="A21">
        <v>99</v>
      </c>
      <c r="B21">
        <v>228</v>
      </c>
      <c r="C21" s="3">
        <f t="shared" si="0"/>
        <v>3.2366668462299231</v>
      </c>
      <c r="D21">
        <f>slope</f>
        <v>1</v>
      </c>
      <c r="E21">
        <f>表格2[[#This Row],[intercept]]+表格2[[#This Row],[slope]]*表格2[[#This Row],[x]]</f>
        <v>102.23666684622992</v>
      </c>
      <c r="F21" s="1">
        <f>(表格2[[#This Row],[y]]-表格2[[#This Row],[y_pred]])^2</f>
        <v>15816.415965946164</v>
      </c>
      <c r="G21" s="3">
        <f>(((表格2[[#This Row],[intercept]]+0.01)+表格2[[#This Row],[x]]*表格2[[#This Row],[slope]])-表格2[[#This Row],[y]])^2</f>
        <v>15813.900799283087</v>
      </c>
      <c r="H21" s="3">
        <f>(表格2[[#This Row],[errb1]]-表格2[[#This Row],[err^2]])/0.01</f>
        <v>-251.51666630772525</v>
      </c>
      <c r="I21" s="3">
        <f>(((表格2[[#This Row],[slope]]+0.01)*表格2[[#This Row],[x]]+表格2[[#This Row],[intercept]])-表格2[[#This Row],[y]])^2</f>
        <v>15568.384666301701</v>
      </c>
      <c r="J21" s="3">
        <f>(表格2[[#This Row],[erra1]]-表格2[[#This Row],[err^2]])/0.01</f>
        <v>-24803.129964446271</v>
      </c>
      <c r="K21" s="3">
        <f>2*(表格2[[#This Row],[y_pred]]-表格2[[#This Row],[y]])</f>
        <v>-251.52666630754015</v>
      </c>
      <c r="L21" s="3">
        <f>表格2[[#This Row],[de/db]]*表格2[[#This Row],[x]]</f>
        <v>-24901.139964446476</v>
      </c>
      <c r="M21" s="3">
        <f>表格2[[#This Row],[slope]]-表格2[[#This Row],[de/da]]*learning_rate_SGD</f>
        <v>3.4901139964446477</v>
      </c>
      <c r="N21" s="3">
        <f>表格2[[#This Row],[intercept]]-表格2[[#This Row],[de/db]]*learning_rate_SGD</f>
        <v>3.2618195128606771</v>
      </c>
    </row>
    <row r="22" spans="1:14" x14ac:dyDescent="0.25">
      <c r="A22">
        <v>13</v>
      </c>
      <c r="B22">
        <v>56</v>
      </c>
      <c r="C22" s="3">
        <f t="shared" si="0"/>
        <v>3.2618195128606771</v>
      </c>
      <c r="D22">
        <f>slope</f>
        <v>1</v>
      </c>
      <c r="E22">
        <f>表格2[[#This Row],[intercept]]+表格2[[#This Row],[slope]]*表格2[[#This Row],[x]]</f>
        <v>16.261819512860676</v>
      </c>
      <c r="F22" s="1">
        <f>(表格2[[#This Row],[y]]-表格2[[#This Row],[y_pred]])^2</f>
        <v>1579.1229884284605</v>
      </c>
      <c r="G22" s="3">
        <f>(((表格2[[#This Row],[intercept]]+0.01)+表格2[[#This Row],[x]]*表格2[[#This Row],[slope]])-表格2[[#This Row],[y]])^2</f>
        <v>1578.3283248187179</v>
      </c>
      <c r="H22" s="3">
        <f>(表格2[[#This Row],[errb1]]-表格2[[#This Row],[err^2]])/0.01</f>
        <v>-79.466360974265626</v>
      </c>
      <c r="I22" s="3">
        <f>(((表格2[[#This Row],[slope]]+0.01)*表格2[[#This Row],[x]]+表格2[[#This Row],[intercept]])-表格2[[#This Row],[y]])^2</f>
        <v>1568.8079615018041</v>
      </c>
      <c r="J22" s="3">
        <f>(表格2[[#This Row],[erra1]]-表格2[[#This Row],[err^2]])/0.01</f>
        <v>-1031.5026926656401</v>
      </c>
      <c r="K22" s="3">
        <f>2*(表格2[[#This Row],[y_pred]]-表格2[[#This Row],[y]])</f>
        <v>-79.476360974278649</v>
      </c>
      <c r="L22" s="3">
        <f>表格2[[#This Row],[de/db]]*表格2[[#This Row],[x]]</f>
        <v>-1033.1926926656224</v>
      </c>
      <c r="M22" s="3">
        <f>表格2[[#This Row],[slope]]-表格2[[#This Row],[de/da]]*learning_rate_SGD</f>
        <v>1.1033192692665623</v>
      </c>
      <c r="N22" s="3">
        <f>表格2[[#This Row],[intercept]]-表格2[[#This Row],[de/db]]*learning_rate_SGD</f>
        <v>3.2697671489581048</v>
      </c>
    </row>
    <row r="23" spans="1:14" x14ac:dyDescent="0.25">
      <c r="A23">
        <v>21</v>
      </c>
      <c r="B23">
        <v>72</v>
      </c>
      <c r="C23" s="3">
        <f t="shared" si="0"/>
        <v>3.2697671489581048</v>
      </c>
      <c r="D23">
        <f>slope</f>
        <v>1</v>
      </c>
      <c r="E23">
        <f>表格2[[#This Row],[intercept]]+表格2[[#This Row],[slope]]*表格2[[#This Row],[x]]</f>
        <v>24.269767148958106</v>
      </c>
      <c r="F23" s="1">
        <f>(表格2[[#This Row],[y]]-表格2[[#This Row],[y_pred]])^2</f>
        <v>2278.1751280146786</v>
      </c>
      <c r="G23" s="3">
        <f>(((表格2[[#This Row],[intercept]]+0.01)+表格2[[#This Row],[x]]*表格2[[#This Row],[slope]])-表格2[[#This Row],[y]])^2</f>
        <v>2277.2206233576585</v>
      </c>
      <c r="H23" s="3">
        <f>(表格2[[#This Row],[errb1]]-表格2[[#This Row],[err^2]])/0.01</f>
        <v>-95.450465702015208</v>
      </c>
      <c r="I23" s="3">
        <f>(((表格2[[#This Row],[slope]]+0.01)*表格2[[#This Row],[x]]+表格2[[#This Row],[intercept]])-表格2[[#This Row],[y]])^2</f>
        <v>2258.1725302172413</v>
      </c>
      <c r="J23" s="3">
        <f>(表格2[[#This Row],[erra1]]-表格2[[#This Row],[err^2]])/0.01</f>
        <v>-2000.2597797437375</v>
      </c>
      <c r="K23" s="3">
        <f>2*(表格2[[#This Row],[y_pred]]-表格2[[#This Row],[y]])</f>
        <v>-95.460465702083781</v>
      </c>
      <c r="L23" s="3">
        <f>表格2[[#This Row],[de/db]]*表格2[[#This Row],[x]]</f>
        <v>-2004.6697797437594</v>
      </c>
      <c r="M23" s="3">
        <f>表格2[[#This Row],[slope]]-表格2[[#This Row],[de/da]]*learning_rate_SGD</f>
        <v>1.200466977974376</v>
      </c>
      <c r="N23" s="3">
        <f>表格2[[#This Row],[intercept]]-表格2[[#This Row],[de/db]]*learning_rate_SGD</f>
        <v>3.2793131955283132</v>
      </c>
    </row>
    <row r="24" spans="1:14" x14ac:dyDescent="0.25">
      <c r="A24">
        <v>28</v>
      </c>
      <c r="B24">
        <v>86</v>
      </c>
      <c r="C24" s="3">
        <f t="shared" si="0"/>
        <v>3.2793131955283132</v>
      </c>
      <c r="D24">
        <f>slope</f>
        <v>1</v>
      </c>
      <c r="E24">
        <f>表格2[[#This Row],[intercept]]+表格2[[#This Row],[slope]]*表格2[[#This Row],[x]]</f>
        <v>31.279313195528314</v>
      </c>
      <c r="F24" s="1">
        <f>(表格2[[#This Row],[y]]-表格2[[#This Row],[y_pred]])^2</f>
        <v>2994.3535643530813</v>
      </c>
      <c r="G24" s="3">
        <f>(((表格2[[#This Row],[intercept]]+0.01)+表格2[[#This Row],[x]]*表格2[[#This Row],[slope]])-表格2[[#This Row],[y]])^2</f>
        <v>2993.2592506169931</v>
      </c>
      <c r="H24" s="3">
        <f>(表格2[[#This Row],[errb1]]-表格2[[#This Row],[err^2]])/0.01</f>
        <v>-109.43137360882247</v>
      </c>
      <c r="I24" s="3">
        <f>(((表格2[[#This Row],[slope]]+0.01)*表格2[[#This Row],[x]]+表格2[[#This Row],[intercept]])-表格2[[#This Row],[y]])^2</f>
        <v>2963.788379742577</v>
      </c>
      <c r="J24" s="3">
        <f>(表格2[[#This Row],[erra1]]-表格2[[#This Row],[err^2]])/0.01</f>
        <v>-3056.5184610504275</v>
      </c>
      <c r="K24" s="3">
        <f>2*(表格2[[#This Row],[y_pred]]-表格2[[#This Row],[y]])</f>
        <v>-109.44137360894337</v>
      </c>
      <c r="L24" s="3">
        <f>表格2[[#This Row],[de/db]]*表格2[[#This Row],[x]]</f>
        <v>-3064.358461050414</v>
      </c>
      <c r="M24" s="3">
        <f>表格2[[#This Row],[slope]]-表格2[[#This Row],[de/da]]*learning_rate_SGD</f>
        <v>1.3064358461050414</v>
      </c>
      <c r="N24" s="3">
        <f>表格2[[#This Row],[intercept]]-表格2[[#This Row],[de/db]]*learning_rate_SGD</f>
        <v>3.2902573328892077</v>
      </c>
    </row>
    <row r="25" spans="1:14" x14ac:dyDescent="0.25">
      <c r="A25">
        <v>20</v>
      </c>
      <c r="B25">
        <v>70</v>
      </c>
      <c r="C25" s="3">
        <f t="shared" si="0"/>
        <v>3.2902573328892077</v>
      </c>
      <c r="D25">
        <f>slope</f>
        <v>1</v>
      </c>
      <c r="E25">
        <f>表格2[[#This Row],[intercept]]+表格2[[#This Row],[slope]]*表格2[[#This Row],[x]]</f>
        <v>23.290257332889208</v>
      </c>
      <c r="F25" s="1">
        <f>(表格2[[#This Row],[y]]-表格2[[#This Row],[y_pred]])^2</f>
        <v>2181.8000600277101</v>
      </c>
      <c r="G25" s="3">
        <f>(((表格2[[#This Row],[intercept]]+0.01)+表格2[[#This Row],[x]]*表格2[[#This Row],[slope]])-表格2[[#This Row],[y]])^2</f>
        <v>2180.8659651743687</v>
      </c>
      <c r="H25" s="3">
        <f>(表格2[[#This Row],[errb1]]-表格2[[#This Row],[err^2]])/0.01</f>
        <v>-93.409485334132114</v>
      </c>
      <c r="I25" s="3">
        <f>(((表格2[[#This Row],[slope]]+0.01)*表格2[[#This Row],[x]]+表格2[[#This Row],[intercept]])-表格2[[#This Row],[y]])^2</f>
        <v>2163.1561629608659</v>
      </c>
      <c r="J25" s="3">
        <f>(表格2[[#This Row],[erra1]]-表格2[[#This Row],[err^2]])/0.01</f>
        <v>-1864.3897066844147</v>
      </c>
      <c r="K25" s="3">
        <f>2*(表格2[[#This Row],[y_pred]]-表格2[[#This Row],[y]])</f>
        <v>-93.419485334221577</v>
      </c>
      <c r="L25" s="3">
        <f>表格2[[#This Row],[de/db]]*表格2[[#This Row],[x]]</f>
        <v>-1868.3897066844315</v>
      </c>
      <c r="M25" s="3">
        <f>表格2[[#This Row],[slope]]-表格2[[#This Row],[de/da]]*learning_rate_SGD</f>
        <v>1.1868389706684432</v>
      </c>
      <c r="N25" s="3">
        <f>表格2[[#This Row],[intercept]]-表格2[[#This Row],[de/db]]*learning_rate_SGD</f>
        <v>3.2995992814226298</v>
      </c>
    </row>
    <row r="26" spans="1:14" x14ac:dyDescent="0.25">
      <c r="A26">
        <v>8</v>
      </c>
      <c r="B26">
        <v>46</v>
      </c>
      <c r="C26" s="3">
        <f t="shared" si="0"/>
        <v>3.2995992814226298</v>
      </c>
      <c r="D26">
        <f>slope</f>
        <v>1</v>
      </c>
      <c r="E26">
        <f>表格2[[#This Row],[intercept]]+表格2[[#This Row],[slope]]*表格2[[#This Row],[x]]</f>
        <v>11.29959928142263</v>
      </c>
      <c r="F26" s="1">
        <f>(表格2[[#This Row],[y]]-表格2[[#This Row],[y_pred]])^2</f>
        <v>1204.1178100298448</v>
      </c>
      <c r="G26" s="3">
        <f>(((表格2[[#This Row],[intercept]]+0.01)+表格2[[#This Row],[x]]*表格2[[#This Row],[slope]])-表格2[[#This Row],[y]])^2</f>
        <v>1203.4239020154735</v>
      </c>
      <c r="H26" s="3">
        <f>(表格2[[#This Row],[errb1]]-表格2[[#This Row],[err^2]])/0.01</f>
        <v>-69.390801437134542</v>
      </c>
      <c r="I26" s="3">
        <f>(((表格2[[#This Row],[slope]]+0.01)*表格2[[#This Row],[x]]+表格2[[#This Row],[intercept]])-表格2[[#This Row],[y]])^2</f>
        <v>1198.5721459148726</v>
      </c>
      <c r="J26" s="3">
        <f>(表格2[[#This Row],[erra1]]-表格2[[#This Row],[err^2]])/0.01</f>
        <v>-554.5664114972169</v>
      </c>
      <c r="K26" s="3">
        <f>2*(表格2[[#This Row],[y_pred]]-表格2[[#This Row],[y]])</f>
        <v>-69.40080143715474</v>
      </c>
      <c r="L26" s="3">
        <f>表格2[[#This Row],[de/db]]*表格2[[#This Row],[x]]</f>
        <v>-555.20641149723792</v>
      </c>
      <c r="M26" s="3">
        <f>表格2[[#This Row],[slope]]-表格2[[#This Row],[de/da]]*learning_rate_SGD</f>
        <v>1.0555206411497238</v>
      </c>
      <c r="N26" s="3">
        <f>表格2[[#This Row],[intercept]]-表格2[[#This Row],[de/db]]*learning_rate_SGD</f>
        <v>3.3065393615663452</v>
      </c>
    </row>
    <row r="27" spans="1:14" x14ac:dyDescent="0.25">
      <c r="A27">
        <v>64</v>
      </c>
      <c r="B27">
        <v>158</v>
      </c>
      <c r="C27" s="3">
        <f t="shared" si="0"/>
        <v>3.3065393615663452</v>
      </c>
      <c r="D27">
        <f>slope</f>
        <v>1</v>
      </c>
      <c r="E27">
        <f>表格2[[#This Row],[intercept]]+表格2[[#This Row],[slope]]*表格2[[#This Row],[x]]</f>
        <v>67.306539361566351</v>
      </c>
      <c r="F27" s="1">
        <f>(表格2[[#This Row],[y]]-表格2[[#This Row],[y_pred]])^2</f>
        <v>8225.3038025751139</v>
      </c>
      <c r="G27" s="3">
        <f>(((表格2[[#This Row],[intercept]]+0.01)+表格2[[#This Row],[x]]*表格2[[#This Row],[slope]])-表格2[[#This Row],[y]])^2</f>
        <v>8223.4900333623464</v>
      </c>
      <c r="H27" s="3">
        <f>(表格2[[#This Row],[errb1]]-表格2[[#This Row],[err^2]])/0.01</f>
        <v>-181.37692127675109</v>
      </c>
      <c r="I27" s="3">
        <f>(((表格2[[#This Row],[slope]]+0.01)*表格2[[#This Row],[x]]+表格2[[#This Row],[intercept]])-表格2[[#This Row],[y]])^2</f>
        <v>8109.6257729579183</v>
      </c>
      <c r="J27" s="3">
        <f>(表格2[[#This Row],[erra1]]-表格2[[#This Row],[err^2]])/0.01</f>
        <v>-11567.802961719553</v>
      </c>
      <c r="K27" s="3">
        <f>2*(表格2[[#This Row],[y_pred]]-表格2[[#This Row],[y]])</f>
        <v>-181.3869212768673</v>
      </c>
      <c r="L27" s="3">
        <f>表格2[[#This Row],[de/db]]*表格2[[#This Row],[x]]</f>
        <v>-11608.762961719507</v>
      </c>
      <c r="M27" s="3">
        <f>表格2[[#This Row],[slope]]-表格2[[#This Row],[de/da]]*learning_rate_SGD</f>
        <v>2.160876296171951</v>
      </c>
      <c r="N27" s="3">
        <f>表格2[[#This Row],[intercept]]-表格2[[#This Row],[de/db]]*learning_rate_SGD</f>
        <v>3.3246780536940319</v>
      </c>
    </row>
    <row r="28" spans="1:14" x14ac:dyDescent="0.25">
      <c r="A28">
        <v>99</v>
      </c>
      <c r="B28">
        <v>228</v>
      </c>
      <c r="C28" s="3">
        <f t="shared" si="0"/>
        <v>3.3246780536940319</v>
      </c>
      <c r="D28">
        <f>slope</f>
        <v>1</v>
      </c>
      <c r="E28">
        <f>表格2[[#This Row],[intercept]]+表格2[[#This Row],[slope]]*表格2[[#This Row],[x]]</f>
        <v>102.32467805369403</v>
      </c>
      <c r="F28" s="1">
        <f>(表格2[[#This Row],[y]]-表格2[[#This Row],[y_pred]])^2</f>
        <v>15794.286546307656</v>
      </c>
      <c r="G28" s="3">
        <f>(((表格2[[#This Row],[intercept]]+0.01)+表格2[[#This Row],[x]]*表格2[[#This Row],[slope]])-表格2[[#This Row],[y]])^2</f>
        <v>15791.773139868728</v>
      </c>
      <c r="H28" s="3">
        <f>(表格2[[#This Row],[errb1]]-表格2[[#This Row],[err^2]])/0.01</f>
        <v>-251.34064389276318</v>
      </c>
      <c r="I28" s="3">
        <f>(((表格2[[#This Row],[slope]]+0.01)*表格2[[#This Row],[x]]+表格2[[#This Row],[intercept]])-表格2[[#This Row],[y]])^2</f>
        <v>15546.429508853971</v>
      </c>
      <c r="J28" s="3">
        <f>(表格2[[#This Row],[erra1]]-表格2[[#This Row],[err^2]])/0.01</f>
        <v>-24785.703745368482</v>
      </c>
      <c r="K28" s="3">
        <f>2*(表格2[[#This Row],[y_pred]]-表格2[[#This Row],[y]])</f>
        <v>-251.35064389261194</v>
      </c>
      <c r="L28" s="3">
        <f>表格2[[#This Row],[de/db]]*表格2[[#This Row],[x]]</f>
        <v>-24883.713745368583</v>
      </c>
      <c r="M28" s="3">
        <f>表格2[[#This Row],[slope]]-表格2[[#This Row],[de/da]]*learning_rate_SGD</f>
        <v>3.4883713745368583</v>
      </c>
      <c r="N28" s="3">
        <f>表格2[[#This Row],[intercept]]-表格2[[#This Row],[de/db]]*learning_rate_SGD</f>
        <v>3.3498131180832931</v>
      </c>
    </row>
    <row r="29" spans="1:14" x14ac:dyDescent="0.25">
      <c r="A29">
        <v>70</v>
      </c>
      <c r="B29">
        <v>170</v>
      </c>
      <c r="C29" s="3">
        <f t="shared" si="0"/>
        <v>3.3498131180832931</v>
      </c>
      <c r="D29">
        <f>slope</f>
        <v>1</v>
      </c>
      <c r="E29">
        <f>表格2[[#This Row],[intercept]]+表格2[[#This Row],[slope]]*表格2[[#This Row],[x]]</f>
        <v>73.34981311808329</v>
      </c>
      <c r="F29" s="1">
        <f>(表格2[[#This Row],[y]]-表格2[[#This Row],[y_pred]])^2</f>
        <v>9341.2586243094247</v>
      </c>
      <c r="G29" s="3">
        <f>(((表格2[[#This Row],[intercept]]+0.01)+表格2[[#This Row],[x]]*表格2[[#This Row],[slope]])-表格2[[#This Row],[y]])^2</f>
        <v>9339.3257205717855</v>
      </c>
      <c r="H29" s="3">
        <f>(表格2[[#This Row],[errb1]]-表格2[[#This Row],[err^2]])/0.01</f>
        <v>-193.2903737639208</v>
      </c>
      <c r="I29" s="3">
        <f>(((表格2[[#This Row],[slope]]+0.01)*表格2[[#This Row],[x]]+表格2[[#This Row],[intercept]])-表格2[[#This Row],[y]])^2</f>
        <v>9206.4383626747403</v>
      </c>
      <c r="J29" s="3">
        <f>(表格2[[#This Row],[erra1]]-表格2[[#This Row],[err^2]])/0.01</f>
        <v>-13482.026163468436</v>
      </c>
      <c r="K29" s="3">
        <f>2*(表格2[[#This Row],[y_pred]]-表格2[[#This Row],[y]])</f>
        <v>-193.30037376383342</v>
      </c>
      <c r="L29" s="3">
        <f>表格2[[#This Row],[de/db]]*表格2[[#This Row],[x]]</f>
        <v>-13531.026163468339</v>
      </c>
      <c r="M29" s="3">
        <f>表格2[[#This Row],[slope]]-表格2[[#This Row],[de/da]]*learning_rate_SGD</f>
        <v>2.3531026163468338</v>
      </c>
      <c r="N29" s="3">
        <f>表格2[[#This Row],[intercept]]-表格2[[#This Row],[de/db]]*learning_rate_SGD</f>
        <v>3.3691431554596765</v>
      </c>
    </row>
    <row r="30" spans="1:14" x14ac:dyDescent="0.25">
      <c r="A30">
        <v>27</v>
      </c>
      <c r="B30">
        <v>84</v>
      </c>
      <c r="C30" s="3">
        <f t="shared" si="0"/>
        <v>3.3691431554596765</v>
      </c>
      <c r="D30">
        <f>slope</f>
        <v>1</v>
      </c>
      <c r="E30">
        <f>表格2[[#This Row],[intercept]]+表格2[[#This Row],[slope]]*表格2[[#This Row],[x]]</f>
        <v>30.369143155459675</v>
      </c>
      <c r="F30" s="1">
        <f>(表格2[[#This Row],[y]]-表格2[[#This Row],[y_pred]])^2</f>
        <v>2876.2688058795779</v>
      </c>
      <c r="G30" s="3">
        <f>(((表格2[[#This Row],[intercept]]+0.01)+表格2[[#This Row],[x]]*表格2[[#This Row],[slope]])-表格2[[#This Row],[y]])^2</f>
        <v>2875.1962887426871</v>
      </c>
      <c r="H30" s="3">
        <f>(表格2[[#This Row],[errb1]]-表格2[[#This Row],[err^2]])/0.01</f>
        <v>-107.25171368908377</v>
      </c>
      <c r="I30" s="3">
        <f>(((表格2[[#This Row],[slope]]+0.01)*表格2[[#This Row],[x]]+表格2[[#This Row],[intercept]])-表格2[[#This Row],[y]])^2</f>
        <v>2847.3810431835259</v>
      </c>
      <c r="J30" s="3">
        <f>(表格2[[#This Row],[erra1]]-表格2[[#This Row],[err^2]])/0.01</f>
        <v>-2888.776269605205</v>
      </c>
      <c r="K30" s="3">
        <f>2*(表格2[[#This Row],[y_pred]]-表格2[[#This Row],[y]])</f>
        <v>-107.26171368908065</v>
      </c>
      <c r="L30" s="3">
        <f>表格2[[#This Row],[de/db]]*表格2[[#This Row],[x]]</f>
        <v>-2896.0662696051777</v>
      </c>
      <c r="M30" s="3">
        <f>表格2[[#This Row],[slope]]-表格2[[#This Row],[de/da]]*learning_rate_SGD</f>
        <v>1.2896066269605178</v>
      </c>
      <c r="N30" s="3">
        <f>表格2[[#This Row],[intercept]]-表格2[[#This Row],[de/db]]*learning_rate_SGD</f>
        <v>3.3798693268285844</v>
      </c>
    </row>
    <row r="31" spans="1:14" x14ac:dyDescent="0.25">
      <c r="A31">
        <v>17</v>
      </c>
      <c r="B31">
        <v>64</v>
      </c>
      <c r="C31" s="3">
        <f t="shared" si="0"/>
        <v>3.3798693268285844</v>
      </c>
      <c r="D31">
        <f>slope</f>
        <v>1</v>
      </c>
      <c r="E31">
        <f>表格2[[#This Row],[intercept]]+表格2[[#This Row],[slope]]*表格2[[#This Row],[x]]</f>
        <v>20.379869326828583</v>
      </c>
      <c r="F31" s="1">
        <f>(表格2[[#This Row],[y]]-表格2[[#This Row],[y_pred]])^2</f>
        <v>1902.7157999445499</v>
      </c>
      <c r="G31" s="3">
        <f>(((表格2[[#This Row],[intercept]]+0.01)+表格2[[#This Row],[x]]*表格2[[#This Row],[slope]])-表格2[[#This Row],[y]])^2</f>
        <v>1901.8434973310859</v>
      </c>
      <c r="H31" s="3">
        <f>(表格2[[#This Row],[errb1]]-表格2[[#This Row],[err^2]])/0.01</f>
        <v>-87.2302613463944</v>
      </c>
      <c r="I31" s="3">
        <f>(((表格2[[#This Row],[slope]]+0.01)*表格2[[#This Row],[x]]+表格2[[#This Row],[intercept]])-表格2[[#This Row],[y]])^2</f>
        <v>1887.9138555156715</v>
      </c>
      <c r="J31" s="3">
        <f>(表格2[[#This Row],[erra1]]-表格2[[#This Row],[err^2]])/0.01</f>
        <v>-1480.1944428878414</v>
      </c>
      <c r="K31" s="3">
        <f>2*(表格2[[#This Row],[y_pred]]-表格2[[#This Row],[y]])</f>
        <v>-87.240261346342834</v>
      </c>
      <c r="L31" s="3">
        <f>表格2[[#This Row],[de/db]]*表格2[[#This Row],[x]]</f>
        <v>-1483.0844428878281</v>
      </c>
      <c r="M31" s="3">
        <f>表格2[[#This Row],[slope]]-表格2[[#This Row],[de/da]]*learning_rate_SGD</f>
        <v>1.1483084442887828</v>
      </c>
      <c r="N31" s="3">
        <f>表格2[[#This Row],[intercept]]-表格2[[#This Row],[de/db]]*learning_rate_SGD</f>
        <v>3.3885933529632188</v>
      </c>
    </row>
    <row r="32" spans="1:14" x14ac:dyDescent="0.25">
      <c r="A32">
        <v>8</v>
      </c>
      <c r="B32">
        <v>46</v>
      </c>
      <c r="C32" s="3">
        <f t="shared" si="0"/>
        <v>3.3885933529632188</v>
      </c>
      <c r="D32">
        <f>slope</f>
        <v>1</v>
      </c>
      <c r="E32">
        <f>表格2[[#This Row],[intercept]]+表格2[[#This Row],[slope]]*表格2[[#This Row],[x]]</f>
        <v>11.38859335296322</v>
      </c>
      <c r="F32" s="1">
        <f>(表格2[[#This Row],[y]]-表格2[[#This Row],[y_pred]])^2</f>
        <v>1197.9494700865419</v>
      </c>
      <c r="G32" s="3">
        <f>(((表格2[[#This Row],[intercept]]+0.01)+表格2[[#This Row],[x]]*表格2[[#This Row],[slope]])-表格2[[#This Row],[y]])^2</f>
        <v>1197.2573419536013</v>
      </c>
      <c r="H32" s="3">
        <f>(表格2[[#This Row],[errb1]]-表格2[[#This Row],[err^2]])/0.01</f>
        <v>-69.212813294052467</v>
      </c>
      <c r="I32" s="3">
        <f>(((表格2[[#This Row],[slope]]+0.01)*表格2[[#This Row],[x]]+表格2[[#This Row],[intercept]])-表格2[[#This Row],[y]])^2</f>
        <v>1192.418045023016</v>
      </c>
      <c r="J32" s="3">
        <f>(表格2[[#This Row],[erra1]]-表格2[[#This Row],[err^2]])/0.01</f>
        <v>-553.14250635258304</v>
      </c>
      <c r="K32" s="3">
        <f>2*(表格2[[#This Row],[y_pred]]-表格2[[#This Row],[y]])</f>
        <v>-69.222813294073561</v>
      </c>
      <c r="L32" s="3">
        <f>表格2[[#This Row],[de/db]]*表格2[[#This Row],[x]]</f>
        <v>-553.78250635258848</v>
      </c>
      <c r="M32" s="3">
        <f>表格2[[#This Row],[slope]]-表格2[[#This Row],[de/da]]*learning_rate_SGD</f>
        <v>1.0553782506352589</v>
      </c>
      <c r="N32" s="3">
        <f>表格2[[#This Row],[intercept]]-表格2[[#This Row],[de/db]]*learning_rate_SGD</f>
        <v>3.395515634292626</v>
      </c>
    </row>
    <row r="33" spans="3:12" x14ac:dyDescent="0.25">
      <c r="E33" t="s">
        <v>2</v>
      </c>
      <c r="F33" s="1">
        <f>SQRT(SUM(F4:F32))</f>
        <v>399.02538111393227</v>
      </c>
      <c r="K33" s="3">
        <f>SQRT(SUMSQ(K4:K32))</f>
        <v>798.05076222786454</v>
      </c>
      <c r="L33" s="3">
        <f>SQRT(SUMSQ(L4:L32))</f>
        <v>54920.510992018899</v>
      </c>
    </row>
    <row r="36" spans="3:12" x14ac:dyDescent="0.25">
      <c r="C36" t="s">
        <v>20</v>
      </c>
    </row>
    <row r="37" spans="3:12" x14ac:dyDescent="0.25">
      <c r="C37" t="s">
        <v>2</v>
      </c>
    </row>
    <row r="38" spans="3:12" x14ac:dyDescent="0.25">
      <c r="C38">
        <v>409.00875526282192</v>
      </c>
    </row>
    <row r="39" spans="3:12" x14ac:dyDescent="0.25">
      <c r="C39">
        <v>406.98663430838599</v>
      </c>
    </row>
    <row r="40" spans="3:12" x14ac:dyDescent="0.25">
      <c r="C40">
        <v>404.97730219884807</v>
      </c>
    </row>
    <row r="41" spans="3:12" x14ac:dyDescent="0.25">
      <c r="C41">
        <v>402.98069297343568</v>
      </c>
    </row>
    <row r="42" spans="3:12" x14ac:dyDescent="0.25">
      <c r="C42">
        <v>400.99674102829215</v>
      </c>
    </row>
  </sheetData>
  <phoneticPr fontId="9"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9525</xdr:rowOff>
                  </from>
                  <to>
                    <xdr:col>0</xdr:col>
                    <xdr:colOff>504825</xdr:colOff>
                    <xdr:row>1</xdr:row>
                    <xdr:rowOff>209550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19050</xdr:rowOff>
                  </from>
                  <to>
                    <xdr:col>0</xdr:col>
                    <xdr:colOff>504825</xdr:colOff>
                    <xdr:row>1</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defaultRowHeight="15.75" x14ac:dyDescent="0.25"/>
  <cols>
    <col min="3" max="3" width="8.85546875" style="5" customWidth="1"/>
    <col min="4" max="4" width="10.85546875" style="5" bestFit="1" customWidth="1"/>
    <col min="5" max="5" width="9.140625" style="5" bestFit="1" customWidth="1"/>
    <col min="6" max="6" width="10.85546875" style="7" bestFit="1" customWidth="1"/>
    <col min="7" max="7" width="10.140625" style="7" bestFit="1" customWidth="1"/>
    <col min="8" max="8" width="8.28515625" bestFit="1" customWidth="1"/>
    <col min="9" max="9" width="6.28515625" bestFit="1" customWidth="1"/>
    <col min="10" max="11" width="6.5703125" customWidth="1"/>
  </cols>
  <sheetData>
    <row r="1" spans="1:13" x14ac:dyDescent="0.25">
      <c r="B1" t="s">
        <v>21</v>
      </c>
      <c r="C1" s="5">
        <v>1.2610777567972657</v>
      </c>
      <c r="D1" s="5" t="s">
        <v>14</v>
      </c>
      <c r="I1" t="s">
        <v>23</v>
      </c>
      <c r="J1">
        <v>0.9</v>
      </c>
      <c r="K1">
        <f>1-J1</f>
        <v>9.9999999999999978E-2</v>
      </c>
    </row>
    <row r="2" spans="1:13" x14ac:dyDescent="0.25">
      <c r="B2" t="s">
        <v>22</v>
      </c>
      <c r="C2" s="5">
        <v>2.3580347909544339</v>
      </c>
      <c r="D2">
        <v>1E-4</v>
      </c>
      <c r="F2" s="9"/>
      <c r="G2" s="9"/>
    </row>
    <row r="3" spans="1:13" s="2" customFormat="1" x14ac:dyDescent="0.25">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25">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25">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25">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25">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25">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25">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25">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25">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25">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25">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25">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25">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25">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25">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25">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25">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25">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25">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25">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25">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25">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25">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25">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25">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25">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25">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25">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25">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25">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25">
      <c r="A33" s="7"/>
      <c r="B33" s="7"/>
      <c r="H33" s="3"/>
      <c r="J33">
        <v>-19.279531290451075</v>
      </c>
      <c r="K33">
        <v>162.8396203477341</v>
      </c>
      <c r="M33" s="10"/>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34" sqref="F34"/>
    </sheetView>
  </sheetViews>
  <sheetFormatPr defaultRowHeight="15.75" x14ac:dyDescent="0.25"/>
  <cols>
    <col min="2" max="2" width="6.28515625" customWidth="1"/>
    <col min="3" max="3" width="8.85546875" style="5" customWidth="1"/>
    <col min="4" max="4" width="10.85546875" style="5" bestFit="1" customWidth="1"/>
    <col min="5" max="5" width="9.140625" style="5" bestFit="1" customWidth="1"/>
    <col min="6" max="6" width="10.85546875" style="7" bestFit="1" customWidth="1"/>
    <col min="7" max="7" width="10.140625" style="7" bestFit="1" customWidth="1"/>
    <col min="8" max="8" width="8.28515625" bestFit="1" customWidth="1"/>
    <col min="9" max="9" width="5.85546875" bestFit="1" customWidth="1"/>
    <col min="10" max="10" width="1.85546875" bestFit="1" customWidth="1"/>
    <col min="11" max="11" width="4.140625" bestFit="1" customWidth="1"/>
  </cols>
  <sheetData>
    <row r="1" spans="1:9" x14ac:dyDescent="0.25">
      <c r="B1" s="11" t="s">
        <v>21</v>
      </c>
      <c r="C1" s="5">
        <v>1</v>
      </c>
      <c r="D1" s="12" t="s">
        <v>14</v>
      </c>
      <c r="F1" s="7">
        <v>28.092710228958623</v>
      </c>
      <c r="G1" s="7">
        <v>1918.710769527765</v>
      </c>
    </row>
    <row r="2" spans="1:9" x14ac:dyDescent="0.25">
      <c r="B2" s="11" t="s">
        <v>22</v>
      </c>
      <c r="C2" s="5">
        <v>1</v>
      </c>
      <c r="D2">
        <v>1E-3</v>
      </c>
      <c r="F2" s="9">
        <f>$D$2/F1</f>
        <v>3.5596423123646386E-5</v>
      </c>
      <c r="G2" s="9">
        <f>$D$2/G1</f>
        <v>5.2118329447127722E-7</v>
      </c>
    </row>
    <row r="3" spans="1:9" s="2" customFormat="1" x14ac:dyDescent="0.25">
      <c r="A3" s="2" t="s">
        <v>15</v>
      </c>
      <c r="B3" s="2" t="s">
        <v>16</v>
      </c>
      <c r="C3" s="6" t="s">
        <v>21</v>
      </c>
      <c r="D3" s="6" t="s">
        <v>22</v>
      </c>
      <c r="E3" s="6" t="s">
        <v>18</v>
      </c>
      <c r="F3" s="8" t="s">
        <v>6</v>
      </c>
      <c r="G3" s="8" t="s">
        <v>9</v>
      </c>
      <c r="H3" s="2" t="s">
        <v>13</v>
      </c>
      <c r="I3" s="2" t="s">
        <v>12</v>
      </c>
    </row>
    <row r="4" spans="1:9" x14ac:dyDescent="0.25">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25">
      <c r="A5">
        <v>86</v>
      </c>
      <c r="B5">
        <v>202</v>
      </c>
      <c r="C5" s="5">
        <f>H4</f>
        <v>1.0030612923886335</v>
      </c>
      <c r="D5" s="5">
        <f>I4</f>
        <v>1.0006275046865434</v>
      </c>
      <c r="E5" s="5">
        <f>C5+D5*A5</f>
        <v>87.057026695431361</v>
      </c>
      <c r="F5" s="7">
        <f t="shared" si="0"/>
        <v>-229.88594660913728</v>
      </c>
      <c r="G5" s="7">
        <f t="shared" si="1"/>
        <v>-19770.191408385806</v>
      </c>
      <c r="H5" s="3">
        <f t="shared" si="2"/>
        <v>1.0112444098143123</v>
      </c>
      <c r="I5" s="3">
        <f t="shared" si="3"/>
        <v>1.0109313981770935</v>
      </c>
    </row>
    <row r="6" spans="1:9" x14ac:dyDescent="0.25">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25">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25">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25">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25">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25">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25">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25">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v>
      </c>
      <c r="I13" s="3">
        <f t="shared" si="3"/>
        <v>1.0437476211784742</v>
      </c>
    </row>
    <row r="14" spans="1:9" x14ac:dyDescent="0.25">
      <c r="A14">
        <v>42</v>
      </c>
      <c r="B14">
        <v>114</v>
      </c>
      <c r="C14" s="5">
        <f t="shared" si="4"/>
        <v>1.053404369677893</v>
      </c>
      <c r="D14" s="5">
        <f t="shared" si="5"/>
        <v>1.0437476211784742</v>
      </c>
      <c r="E14" s="5">
        <f t="shared" si="6"/>
        <v>44.890804459173808</v>
      </c>
      <c r="F14" s="7">
        <f t="shared" si="0"/>
        <v>-138.21839108165238</v>
      </c>
      <c r="G14" s="7">
        <f t="shared" si="1"/>
        <v>-5805.1724254294004</v>
      </c>
      <c r="H14" s="3">
        <f t="shared" si="2"/>
        <v>1.0583244500103051</v>
      </c>
      <c r="I14" s="3">
        <f t="shared" si="3"/>
        <v>1.0467731800681332</v>
      </c>
    </row>
    <row r="15" spans="1:9" x14ac:dyDescent="0.25">
      <c r="A15">
        <v>62</v>
      </c>
      <c r="B15">
        <v>154</v>
      </c>
      <c r="C15" s="5">
        <f t="shared" si="4"/>
        <v>1.0583244500103051</v>
      </c>
      <c r="D15" s="5">
        <f>I14</f>
        <v>1.0467731800681332</v>
      </c>
      <c r="E15" s="5">
        <f t="shared" si="6"/>
        <v>65.958261614234559</v>
      </c>
      <c r="F15" s="7">
        <f t="shared" si="0"/>
        <v>-176.08347677153088</v>
      </c>
      <c r="G15" s="7">
        <f t="shared" si="1"/>
        <v>-10917.175559834915</v>
      </c>
      <c r="H15" s="3">
        <f t="shared" si="2"/>
        <v>1.0645923919545472</v>
      </c>
      <c r="I15" s="3">
        <f t="shared" si="3"/>
        <v>1.0524630295927293</v>
      </c>
    </row>
    <row r="16" spans="1:9" x14ac:dyDescent="0.25">
      <c r="A16">
        <v>47</v>
      </c>
      <c r="B16">
        <v>124</v>
      </c>
      <c r="C16" s="5">
        <f t="shared" si="4"/>
        <v>1.0645923919545472</v>
      </c>
      <c r="D16" s="5">
        <f t="shared" si="5"/>
        <v>1.0524630295927293</v>
      </c>
      <c r="E16" s="5">
        <f t="shared" si="6"/>
        <v>50.530354782812829</v>
      </c>
      <c r="F16" s="7">
        <f t="shared" si="0"/>
        <v>-146.93929043437436</v>
      </c>
      <c r="G16" s="7">
        <f t="shared" si="1"/>
        <v>-6906.1466504155951</v>
      </c>
      <c r="H16" s="3">
        <f t="shared" si="2"/>
        <v>1.0698229051103376</v>
      </c>
      <c r="I16" s="3">
        <f t="shared" si="3"/>
        <v>1.0560623978560946</v>
      </c>
    </row>
    <row r="17" spans="1:9" x14ac:dyDescent="0.25">
      <c r="A17">
        <v>35</v>
      </c>
      <c r="B17">
        <v>100</v>
      </c>
      <c r="C17" s="5">
        <f t="shared" si="4"/>
        <v>1.0698229051103376</v>
      </c>
      <c r="D17" s="5">
        <f t="shared" si="5"/>
        <v>1.0560623978560946</v>
      </c>
      <c r="E17" s="5">
        <f t="shared" si="6"/>
        <v>38.032006830073648</v>
      </c>
      <c r="F17" s="7">
        <f t="shared" si="0"/>
        <v>-123.9359863398527</v>
      </c>
      <c r="G17" s="7">
        <f t="shared" si="1"/>
        <v>-4337.7595218948445</v>
      </c>
      <c r="H17" s="3">
        <f t="shared" si="2"/>
        <v>1.0742345829203375</v>
      </c>
      <c r="I17" s="3">
        <f t="shared" si="3"/>
        <v>1.0583231656543399</v>
      </c>
    </row>
    <row r="18" spans="1:9" x14ac:dyDescent="0.25">
      <c r="A18">
        <v>9</v>
      </c>
      <c r="B18">
        <v>48</v>
      </c>
      <c r="C18" s="5">
        <f t="shared" si="4"/>
        <v>1.0742345829203375</v>
      </c>
      <c r="D18" s="5">
        <f t="shared" si="5"/>
        <v>1.0583231656543399</v>
      </c>
      <c r="E18" s="5">
        <f t="shared" si="6"/>
        <v>10.599143073809397</v>
      </c>
      <c r="F18" s="7">
        <f t="shared" si="0"/>
        <v>-74.801713852381198</v>
      </c>
      <c r="G18" s="7">
        <f t="shared" si="1"/>
        <v>-673.21542467143081</v>
      </c>
      <c r="H18" s="3">
        <f t="shared" si="2"/>
        <v>1.0768972563770007</v>
      </c>
      <c r="I18" s="3">
        <f t="shared" si="3"/>
        <v>1.0586740342872591</v>
      </c>
    </row>
    <row r="19" spans="1:9" x14ac:dyDescent="0.25">
      <c r="A19">
        <v>38</v>
      </c>
      <c r="B19">
        <v>106</v>
      </c>
      <c r="C19" s="5">
        <f t="shared" si="4"/>
        <v>1.0768972563770007</v>
      </c>
      <c r="D19" s="5">
        <f t="shared" si="5"/>
        <v>1.0586740342872591</v>
      </c>
      <c r="E19" s="5">
        <f t="shared" si="6"/>
        <v>41.306510559292853</v>
      </c>
      <c r="F19" s="7">
        <f t="shared" si="0"/>
        <v>-129.38697888141428</v>
      </c>
      <c r="G19" s="7">
        <f t="shared" si="1"/>
        <v>-4916.7051974937422</v>
      </c>
      <c r="H19" s="3">
        <f t="shared" si="2"/>
        <v>1.0815029700239538</v>
      </c>
      <c r="I19" s="3">
        <f t="shared" si="3"/>
        <v>1.0612365389000329</v>
      </c>
    </row>
    <row r="20" spans="1:9" x14ac:dyDescent="0.25">
      <c r="A20">
        <v>44</v>
      </c>
      <c r="B20">
        <v>118</v>
      </c>
      <c r="C20" s="5">
        <f t="shared" si="4"/>
        <v>1.0815029700239538</v>
      </c>
      <c r="D20" s="5">
        <f t="shared" si="5"/>
        <v>1.0612365389000329</v>
      </c>
      <c r="E20" s="5">
        <f t="shared" si="6"/>
        <v>47.775910681625405</v>
      </c>
      <c r="F20" s="7">
        <f t="shared" si="0"/>
        <v>-140.44817863674919</v>
      </c>
      <c r="G20" s="7">
        <f t="shared" si="1"/>
        <v>-6179.719860016964</v>
      </c>
      <c r="H20" s="3">
        <f t="shared" si="2"/>
        <v>1.086502422817653</v>
      </c>
      <c r="I20" s="3">
        <f t="shared" si="3"/>
        <v>1.0644573056555862</v>
      </c>
    </row>
    <row r="21" spans="1:9" x14ac:dyDescent="0.25">
      <c r="A21">
        <v>99</v>
      </c>
      <c r="B21">
        <v>228</v>
      </c>
      <c r="C21" s="5">
        <f t="shared" si="4"/>
        <v>1.086502422817653</v>
      </c>
      <c r="D21" s="5">
        <f t="shared" si="5"/>
        <v>1.0644573056555862</v>
      </c>
      <c r="E21" s="5">
        <f t="shared" si="6"/>
        <v>106.46777568272068</v>
      </c>
      <c r="F21" s="7">
        <f t="shared" si="0"/>
        <v>-243.06444863455863</v>
      </c>
      <c r="G21" s="7">
        <f t="shared" si="1"/>
        <v>-24063.380414821306</v>
      </c>
      <c r="H21" s="3">
        <f t="shared" si="2"/>
        <v>1.0951546477775644</v>
      </c>
      <c r="I21" s="3">
        <f t="shared" si="3"/>
        <v>1.0769987375362984</v>
      </c>
    </row>
    <row r="22" spans="1:9" x14ac:dyDescent="0.25">
      <c r="A22">
        <v>13</v>
      </c>
      <c r="B22">
        <v>56</v>
      </c>
      <c r="C22" s="5">
        <f t="shared" si="4"/>
        <v>1.0951546477775644</v>
      </c>
      <c r="D22" s="5">
        <f t="shared" si="5"/>
        <v>1.0769987375362984</v>
      </c>
      <c r="E22" s="5">
        <f t="shared" si="6"/>
        <v>15.096138235749443</v>
      </c>
      <c r="F22" s="7">
        <f t="shared" si="0"/>
        <v>-81.807723528501114</v>
      </c>
      <c r="G22" s="7">
        <f t="shared" si="1"/>
        <v>-1063.5004058705144</v>
      </c>
      <c r="H22" s="3">
        <f t="shared" si="2"/>
        <v>1.0980667101190673</v>
      </c>
      <c r="I22" s="3">
        <f t="shared" si="3"/>
        <v>1.0775530161815015</v>
      </c>
    </row>
    <row r="23" spans="1:9" x14ac:dyDescent="0.25">
      <c r="A23">
        <v>21</v>
      </c>
      <c r="B23">
        <v>72</v>
      </c>
      <c r="C23" s="5">
        <f t="shared" si="4"/>
        <v>1.0980667101190673</v>
      </c>
      <c r="D23" s="5">
        <f t="shared" si="5"/>
        <v>1.0775530161815015</v>
      </c>
      <c r="E23" s="5">
        <f t="shared" si="6"/>
        <v>23.726680049930597</v>
      </c>
      <c r="F23" s="7">
        <f t="shared" si="0"/>
        <v>-96.546639900138814</v>
      </c>
      <c r="G23" s="7">
        <f t="shared" si="1"/>
        <v>-2027.4794379029152</v>
      </c>
      <c r="H23" s="3">
        <f t="shared" si="2"/>
        <v>1.1015034251641189</v>
      </c>
      <c r="I23" s="3">
        <f t="shared" si="3"/>
        <v>1.0786097045944205</v>
      </c>
    </row>
    <row r="24" spans="1:9" x14ac:dyDescent="0.25">
      <c r="A24">
        <v>28</v>
      </c>
      <c r="B24">
        <v>86</v>
      </c>
      <c r="C24" s="5">
        <f t="shared" si="4"/>
        <v>1.1015034251641189</v>
      </c>
      <c r="D24" s="5">
        <f t="shared" si="5"/>
        <v>1.0786097045944205</v>
      </c>
      <c r="E24" s="5">
        <f t="shared" si="6"/>
        <v>31.302575153807894</v>
      </c>
      <c r="F24" s="7">
        <f t="shared" si="0"/>
        <v>-109.39484969238421</v>
      </c>
      <c r="G24" s="7">
        <f t="shared" si="1"/>
        <v>-3063.0557913867578</v>
      </c>
      <c r="H24" s="3">
        <f t="shared" si="2"/>
        <v>1.1053974905213166</v>
      </c>
      <c r="I24" s="3">
        <f t="shared" si="3"/>
        <v>1.0802061181029248</v>
      </c>
    </row>
    <row r="25" spans="1:9" x14ac:dyDescent="0.25">
      <c r="A25">
        <v>20</v>
      </c>
      <c r="B25">
        <v>70</v>
      </c>
      <c r="C25" s="5">
        <f t="shared" si="4"/>
        <v>1.1053974905213166</v>
      </c>
      <c r="D25" s="5">
        <f t="shared" si="5"/>
        <v>1.0802061181029248</v>
      </c>
      <c r="E25" s="5">
        <f t="shared" si="6"/>
        <v>22.709519852579813</v>
      </c>
      <c r="F25" s="7">
        <f t="shared" si="0"/>
        <v>-94.580960294840366</v>
      </c>
      <c r="G25" s="7">
        <f t="shared" si="1"/>
        <v>-1891.6192058968072</v>
      </c>
      <c r="H25" s="3">
        <f t="shared" si="2"/>
        <v>1.1087642344034125</v>
      </c>
      <c r="I25" s="3">
        <f t="shared" si="3"/>
        <v>1.0811919984325391</v>
      </c>
    </row>
    <row r="26" spans="1:9" x14ac:dyDescent="0.25">
      <c r="A26">
        <v>8</v>
      </c>
      <c r="B26">
        <v>46</v>
      </c>
      <c r="C26" s="5">
        <f t="shared" si="4"/>
        <v>1.1087642344034125</v>
      </c>
      <c r="D26" s="5">
        <f t="shared" si="5"/>
        <v>1.0811919984325391</v>
      </c>
      <c r="E26" s="5">
        <f t="shared" si="6"/>
        <v>9.7583002218637258</v>
      </c>
      <c r="F26" s="7">
        <f t="shared" si="0"/>
        <v>-72.483399556272545</v>
      </c>
      <c r="G26" s="7">
        <f t="shared" si="1"/>
        <v>-579.86719645018036</v>
      </c>
      <c r="H26" s="3">
        <f t="shared" si="2"/>
        <v>1.111344384163458</v>
      </c>
      <c r="I26" s="3">
        <f t="shared" si="3"/>
        <v>1.0814942155283409</v>
      </c>
    </row>
    <row r="27" spans="1:9" x14ac:dyDescent="0.25">
      <c r="A27">
        <v>64</v>
      </c>
      <c r="B27">
        <v>158</v>
      </c>
      <c r="C27" s="5">
        <f t="shared" si="4"/>
        <v>1.111344384163458</v>
      </c>
      <c r="D27" s="5">
        <f t="shared" si="5"/>
        <v>1.0814942155283409</v>
      </c>
      <c r="E27" s="5">
        <f t="shared" si="6"/>
        <v>70.326974177977277</v>
      </c>
      <c r="F27" s="7">
        <f t="shared" si="0"/>
        <v>-175.34605164404545</v>
      </c>
      <c r="G27" s="7">
        <f t="shared" si="1"/>
        <v>-11222.147305218909</v>
      </c>
      <c r="H27" s="3">
        <f t="shared" si="2"/>
        <v>1.1175860764108403</v>
      </c>
      <c r="I27" s="3">
        <f t="shared" si="3"/>
        <v>1.0873430112319169</v>
      </c>
    </row>
    <row r="28" spans="1:9" x14ac:dyDescent="0.25">
      <c r="A28">
        <v>99</v>
      </c>
      <c r="B28">
        <v>228</v>
      </c>
      <c r="C28" s="5">
        <f t="shared" si="4"/>
        <v>1.1175860764108403</v>
      </c>
      <c r="D28" s="5">
        <f t="shared" si="5"/>
        <v>1.0873430112319169</v>
      </c>
      <c r="E28" s="5">
        <f t="shared" si="6"/>
        <v>108.76454418837062</v>
      </c>
      <c r="F28" s="7">
        <f t="shared" si="0"/>
        <v>-238.47091162325876</v>
      </c>
      <c r="G28" s="7">
        <f t="shared" si="1"/>
        <v>-23608.620250702617</v>
      </c>
      <c r="H28" s="3">
        <f t="shared" si="2"/>
        <v>1.1260747878836634</v>
      </c>
      <c r="I28" s="3">
        <f t="shared" si="3"/>
        <v>1.0996474297120995</v>
      </c>
    </row>
    <row r="29" spans="1:9" x14ac:dyDescent="0.25">
      <c r="A29">
        <v>70</v>
      </c>
      <c r="B29">
        <v>170</v>
      </c>
      <c r="C29" s="5">
        <f t="shared" si="4"/>
        <v>1.1260747878836634</v>
      </c>
      <c r="D29" s="5">
        <f t="shared" si="5"/>
        <v>1.0996474297120995</v>
      </c>
      <c r="E29" s="5">
        <f t="shared" si="6"/>
        <v>78.101394867730633</v>
      </c>
      <c r="F29" s="7">
        <f t="shared" si="0"/>
        <v>-183.79721026453873</v>
      </c>
      <c r="G29" s="7">
        <f t="shared" si="1"/>
        <v>-12865.804718517711</v>
      </c>
      <c r="H29" s="3">
        <f t="shared" si="2"/>
        <v>1.1326173111491857</v>
      </c>
      <c r="I29" s="3">
        <f t="shared" si="3"/>
        <v>1.1063528722013207</v>
      </c>
    </row>
    <row r="30" spans="1:9" x14ac:dyDescent="0.25">
      <c r="A30">
        <v>27</v>
      </c>
      <c r="B30">
        <v>84</v>
      </c>
      <c r="C30" s="5">
        <f t="shared" si="4"/>
        <v>1.1326173111491857</v>
      </c>
      <c r="D30" s="5">
        <f t="shared" si="5"/>
        <v>1.1063528722013207</v>
      </c>
      <c r="E30" s="5">
        <f t="shared" si="6"/>
        <v>31.004144860584844</v>
      </c>
      <c r="F30" s="7">
        <f t="shared" si="0"/>
        <v>-105.99171027883031</v>
      </c>
      <c r="G30" s="7">
        <f t="shared" si="1"/>
        <v>-2861.7761775284184</v>
      </c>
      <c r="H30" s="3">
        <f t="shared" si="2"/>
        <v>1.1363902369158698</v>
      </c>
      <c r="I30" s="3">
        <f t="shared" si="3"/>
        <v>1.1078443821375643</v>
      </c>
    </row>
    <row r="31" spans="1:9" x14ac:dyDescent="0.25">
      <c r="A31">
        <v>17</v>
      </c>
      <c r="B31">
        <v>64</v>
      </c>
      <c r="C31" s="5">
        <f t="shared" si="4"/>
        <v>1.1363902369158698</v>
      </c>
      <c r="D31" s="5">
        <f t="shared" si="5"/>
        <v>1.1078443821375643</v>
      </c>
      <c r="E31" s="5">
        <f t="shared" si="6"/>
        <v>19.969744733254462</v>
      </c>
      <c r="F31" s="7">
        <f t="shared" si="0"/>
        <v>-88.060510533491083</v>
      </c>
      <c r="G31" s="7">
        <f t="shared" si="1"/>
        <v>-1497.0286790693485</v>
      </c>
      <c r="H31" s="3">
        <f t="shared" si="2"/>
        <v>1.1395248761093042</v>
      </c>
      <c r="I31" s="3">
        <f t="shared" si="3"/>
        <v>1.1086246084764397</v>
      </c>
    </row>
    <row r="32" spans="1:9" x14ac:dyDescent="0.25">
      <c r="A32">
        <v>8</v>
      </c>
      <c r="B32">
        <v>46</v>
      </c>
      <c r="C32" s="5">
        <f t="shared" si="4"/>
        <v>1.1395248761093042</v>
      </c>
      <c r="D32" s="5">
        <f t="shared" si="5"/>
        <v>1.1086246084764397</v>
      </c>
      <c r="E32" s="5">
        <f t="shared" si="6"/>
        <v>10.008521743920822</v>
      </c>
      <c r="F32" s="7">
        <f t="shared" si="0"/>
        <v>-71.982956512158353</v>
      </c>
      <c r="G32" s="7">
        <f t="shared" si="1"/>
        <v>-575.86365209726682</v>
      </c>
      <c r="H32" s="3">
        <f t="shared" si="2"/>
        <v>1.142087211887002</v>
      </c>
      <c r="I32" s="3">
        <f t="shared" si="3"/>
        <v>1.108924738991806</v>
      </c>
    </row>
    <row r="33" spans="1:11" x14ac:dyDescent="0.25">
      <c r="A33" s="7"/>
      <c r="B33" s="7"/>
      <c r="F33" s="7">
        <f>SQRT(SUMSQ(F4:F32))/COUNT(F4:F32)</f>
        <v>27.319962416863692</v>
      </c>
      <c r="G33" s="7">
        <f>SQRT(SUMSQ(G4:G32))/COUNT(G4:G32)</f>
        <v>1857.066741115646</v>
      </c>
      <c r="H33" s="3"/>
      <c r="K33" s="10"/>
    </row>
  </sheetData>
  <phoneticPr fontId="9"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defaultRowHeight="15.75" x14ac:dyDescent="0.25"/>
  <cols>
    <col min="3" max="3" width="8.85546875" style="5" customWidth="1"/>
    <col min="4" max="4" width="10.85546875" style="5" bestFit="1" customWidth="1"/>
    <col min="5" max="5" width="9.140625" style="5" bestFit="1" customWidth="1"/>
    <col min="6" max="6" width="10.85546875" style="7" bestFit="1" customWidth="1"/>
    <col min="7" max="7" width="10.140625" style="7" bestFit="1" customWidth="1"/>
    <col min="8" max="8" width="8.28515625" bestFit="1" customWidth="1"/>
    <col min="9" max="9" width="17" customWidth="1"/>
    <col min="10" max="10" width="8.42578125" customWidth="1"/>
    <col min="11" max="11" width="19.5703125" customWidth="1"/>
  </cols>
  <sheetData>
    <row r="1" spans="1:11" x14ac:dyDescent="0.25">
      <c r="B1" t="s">
        <v>21</v>
      </c>
      <c r="C1" s="5">
        <v>1</v>
      </c>
      <c r="D1" s="5" t="s">
        <v>14</v>
      </c>
      <c r="J1">
        <v>0.9</v>
      </c>
      <c r="K1">
        <f>1-J1</f>
        <v>9.9999999999999978E-2</v>
      </c>
    </row>
    <row r="2" spans="1:11" x14ac:dyDescent="0.25">
      <c r="B2" t="s">
        <v>22</v>
      </c>
      <c r="C2" s="5">
        <v>1</v>
      </c>
      <c r="D2">
        <v>0.02</v>
      </c>
      <c r="F2" s="9"/>
      <c r="G2" s="9"/>
    </row>
    <row r="3" spans="1:11" s="2" customFormat="1" x14ac:dyDescent="0.25">
      <c r="A3" s="2" t="s">
        <v>15</v>
      </c>
      <c r="B3" s="2" t="s">
        <v>16</v>
      </c>
      <c r="C3" s="6" t="s">
        <v>21</v>
      </c>
      <c r="D3" s="6" t="s">
        <v>22</v>
      </c>
      <c r="E3" s="6" t="s">
        <v>18</v>
      </c>
      <c r="F3" s="8" t="s">
        <v>6</v>
      </c>
      <c r="G3" s="8" t="s">
        <v>9</v>
      </c>
      <c r="H3" s="2" t="s">
        <v>13</v>
      </c>
      <c r="I3" s="2" t="s">
        <v>12</v>
      </c>
      <c r="J3">
        <f>J33</f>
        <v>9309.6314749795092</v>
      </c>
      <c r="K3">
        <f>K33</f>
        <v>38847505.049484089</v>
      </c>
    </row>
    <row r="4" spans="1:11" x14ac:dyDescent="0.25">
      <c r="A4">
        <v>14</v>
      </c>
      <c r="B4">
        <v>58</v>
      </c>
      <c r="C4" s="5">
        <f>C1</f>
        <v>1</v>
      </c>
      <c r="D4" s="5">
        <f>C2</f>
        <v>1</v>
      </c>
      <c r="E4" s="5">
        <f>C4+D4*A4</f>
        <v>15</v>
      </c>
      <c r="F4" s="7">
        <f t="shared" ref="F4:F32" si="0">2*(D4*A4+C4-B4)</f>
        <v>-86</v>
      </c>
      <c r="G4" s="7">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25">
      <c r="A5">
        <v>86</v>
      </c>
      <c r="B5">
        <v>202</v>
      </c>
      <c r="C5" s="5">
        <f>H4</f>
        <v>1.0178263406803389</v>
      </c>
      <c r="D5" s="5">
        <f>I4</f>
        <v>1.0038634466250291</v>
      </c>
      <c r="E5" s="5">
        <f>C5+D5*A5</f>
        <v>87.350082750432847</v>
      </c>
      <c r="F5" s="7">
        <f t="shared" si="0"/>
        <v>-229.29983449913431</v>
      </c>
      <c r="G5" s="7">
        <f t="shared" si="1"/>
        <v>-19719.78576692555</v>
      </c>
      <c r="H5" s="3">
        <f t="shared" si="2"/>
        <v>1.0658524663353617</v>
      </c>
      <c r="I5" s="3">
        <f t="shared" si="3"/>
        <v>1.0704261418714132</v>
      </c>
      <c r="J5">
        <f t="shared" si="4"/>
        <v>13464.282904866439</v>
      </c>
      <c r="K5">
        <f t="shared" si="5"/>
        <v>70483939.599426061</v>
      </c>
    </row>
    <row r="6" spans="1:11" x14ac:dyDescent="0.25">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3"/>
        <v>1.0777583902566392</v>
      </c>
      <c r="J6">
        <f>J5*$J$1+$K$1*F6^2</f>
        <v>13326.192670140983</v>
      </c>
      <c r="K6">
        <f>K5*$J$1+$K$1*G6^2</f>
        <v>64382882.675200231</v>
      </c>
    </row>
    <row r="7" spans="1:11" x14ac:dyDescent="0.25">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3"/>
        <v>1.0970678449350288</v>
      </c>
      <c r="J7">
        <f t="shared" si="4"/>
        <v>14300.905419051738</v>
      </c>
      <c r="K7">
        <f t="shared" si="5"/>
        <v>63945964.981100745</v>
      </c>
    </row>
    <row r="8" spans="1:11" x14ac:dyDescent="0.25">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3"/>
        <v>1.1046549863400486</v>
      </c>
      <c r="J8">
        <f t="shared" si="4"/>
        <v>14044.613101106479</v>
      </c>
      <c r="K8">
        <f t="shared" si="5"/>
        <v>58471626.290575251</v>
      </c>
    </row>
    <row r="9" spans="1:11" x14ac:dyDescent="0.25">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3"/>
        <v>1.1129735692503928</v>
      </c>
      <c r="J9">
        <f t="shared" si="4"/>
        <v>13842.93646354764</v>
      </c>
      <c r="K9">
        <f t="shared" si="5"/>
        <v>53636005.571133792</v>
      </c>
    </row>
    <row r="10" spans="1:11" x14ac:dyDescent="0.25">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3"/>
        <v>1.149434611195548</v>
      </c>
      <c r="J10">
        <f t="shared" si="4"/>
        <v>15897.305642834803</v>
      </c>
      <c r="K10">
        <f t="shared" si="5"/>
        <v>66098433.10214816</v>
      </c>
    </row>
    <row r="11" spans="1:11" x14ac:dyDescent="0.25">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3"/>
        <v>1.1743123492204013</v>
      </c>
      <c r="J11">
        <f t="shared" si="4"/>
        <v>16968.113741294474</v>
      </c>
      <c r="K11">
        <f t="shared" si="5"/>
        <v>69715700.411518008</v>
      </c>
    </row>
    <row r="12" spans="1:11" x14ac:dyDescent="0.25">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3"/>
        <v>1.2138104208910743</v>
      </c>
      <c r="J12">
        <f t="shared" si="4"/>
        <v>19124.877391072438</v>
      </c>
      <c r="K12">
        <f t="shared" si="5"/>
        <v>89934955.739056915</v>
      </c>
    </row>
    <row r="13" spans="1:11" x14ac:dyDescent="0.25">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3"/>
        <v>1.2163764339212277</v>
      </c>
      <c r="J13">
        <f t="shared" si="4"/>
        <v>17870.356073590989</v>
      </c>
      <c r="K13">
        <f t="shared" si="5"/>
        <v>81089502.610017031</v>
      </c>
    </row>
    <row r="14" spans="1:11" x14ac:dyDescent="0.25">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3"/>
        <v>1.2278809131934156</v>
      </c>
      <c r="J14">
        <f t="shared" si="4"/>
        <v>17604.358228715075</v>
      </c>
      <c r="K14">
        <f t="shared" si="5"/>
        <v>75663662.962035671</v>
      </c>
    </row>
    <row r="15" spans="1:11" x14ac:dyDescent="0.25">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3"/>
        <v>1.2497218037710511</v>
      </c>
      <c r="J15">
        <f t="shared" si="4"/>
        <v>18191.309313053822</v>
      </c>
      <c r="K15">
        <f t="shared" si="5"/>
        <v>77120651.937148318</v>
      </c>
    </row>
    <row r="16" spans="1:11" x14ac:dyDescent="0.25">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3"/>
        <v>1.2634173555013009</v>
      </c>
      <c r="J16">
        <f t="shared" si="4"/>
        <v>18009.274015880168</v>
      </c>
      <c r="K16">
        <f t="shared" si="5"/>
        <v>73024930.999230474</v>
      </c>
    </row>
    <row r="17" spans="1:11" x14ac:dyDescent="0.25">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3"/>
        <v>1.2723416247149248</v>
      </c>
      <c r="J17">
        <f t="shared" si="4"/>
        <v>17395.263753460276</v>
      </c>
      <c r="K17">
        <f t="shared" si="5"/>
        <v>67176411.394788384</v>
      </c>
    </row>
    <row r="18" spans="1:11" x14ac:dyDescent="0.25">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3"/>
        <v>1.2738888269071464</v>
      </c>
      <c r="J18">
        <f t="shared" si="4"/>
        <v>16152.062129617498</v>
      </c>
      <c r="K18">
        <f t="shared" si="5"/>
        <v>60498972.560181305</v>
      </c>
    </row>
    <row r="19" spans="1:11" x14ac:dyDescent="0.25">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3"/>
        <v>1.2848827361283015</v>
      </c>
      <c r="J19">
        <f t="shared" si="4"/>
        <v>15802.830853494237</v>
      </c>
      <c r="K19">
        <f t="shared" si="5"/>
        <v>56277143.112957954</v>
      </c>
    </row>
    <row r="20" spans="1:11" x14ac:dyDescent="0.25">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3"/>
        <v>1.29898585224858</v>
      </c>
      <c r="J20">
        <f t="shared" si="4"/>
        <v>15667.977094039874</v>
      </c>
      <c r="K20">
        <f t="shared" si="5"/>
        <v>53447779.976594999</v>
      </c>
    </row>
    <row r="21" spans="1:11" x14ac:dyDescent="0.25">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3"/>
        <v>1.3520847425934954</v>
      </c>
      <c r="J21">
        <f t="shared" si="4"/>
        <v>17945.062569826499</v>
      </c>
      <c r="K21">
        <f t="shared" si="5"/>
        <v>85776901.076988667</v>
      </c>
    </row>
    <row r="22" spans="1:11" x14ac:dyDescent="0.25">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3"/>
        <v>1.3541632806325754</v>
      </c>
      <c r="J22">
        <f t="shared" si="4"/>
        <v>16698.757043387868</v>
      </c>
      <c r="K22">
        <f t="shared" si="5"/>
        <v>77291856.892751753</v>
      </c>
    </row>
    <row r="23" spans="1:11" x14ac:dyDescent="0.25">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3"/>
        <v>1.3581904393135271</v>
      </c>
      <c r="J23">
        <f t="shared" si="4"/>
        <v>15739.493515546994</v>
      </c>
      <c r="K23">
        <f t="shared" si="5"/>
        <v>69876051.173312157</v>
      </c>
    </row>
    <row r="24" spans="1:11" x14ac:dyDescent="0.25">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3"/>
        <v>1.3644265979611134</v>
      </c>
      <c r="J24">
        <f t="shared" si="4"/>
        <v>15032.080164599438</v>
      </c>
      <c r="K24">
        <f t="shared" si="5"/>
        <v>63567810.280456945</v>
      </c>
    </row>
    <row r="25" spans="1:11" x14ac:dyDescent="0.25">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3"/>
        <v>1.3685675954784378</v>
      </c>
      <c r="J25">
        <f t="shared" si="4"/>
        <v>14210.154610057887</v>
      </c>
      <c r="K25">
        <f t="shared" si="5"/>
        <v>57483542.237178609</v>
      </c>
    </row>
    <row r="26" spans="1:11" x14ac:dyDescent="0.25">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3"/>
        <v>1.3699855801769021</v>
      </c>
      <c r="J26">
        <f t="shared" si="4"/>
        <v>13240.627600175287</v>
      </c>
      <c r="K26">
        <f t="shared" si="5"/>
        <v>51764083.274332635</v>
      </c>
    </row>
    <row r="27" spans="1:11" x14ac:dyDescent="0.25">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3"/>
        <v>1.3944851740299169</v>
      </c>
      <c r="J27">
        <f t="shared" si="4"/>
        <v>13812.949167944951</v>
      </c>
      <c r="K27">
        <f t="shared" si="5"/>
        <v>54355265.153515711</v>
      </c>
    </row>
    <row r="28" spans="1:11" x14ac:dyDescent="0.25">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3"/>
        <v>1.4419968577618538</v>
      </c>
      <c r="J28">
        <f t="shared" si="4"/>
        <v>15561.421782413567</v>
      </c>
      <c r="K28">
        <f t="shared" si="5"/>
        <v>79594590.212073892</v>
      </c>
    </row>
    <row r="29" spans="1:11" x14ac:dyDescent="0.25">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3"/>
        <v>1.4631939659832729</v>
      </c>
      <c r="J29">
        <f t="shared" si="4"/>
        <v>15829.934404449519</v>
      </c>
      <c r="K29">
        <f t="shared" si="5"/>
        <v>80575939.712225318</v>
      </c>
    </row>
    <row r="30" spans="1:11" x14ac:dyDescent="0.25">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3"/>
        <v>1.4683617245108218</v>
      </c>
      <c r="J30">
        <f t="shared" si="4"/>
        <v>14984.88305774193</v>
      </c>
      <c r="K30">
        <f t="shared" si="5"/>
        <v>73056305.527337328</v>
      </c>
    </row>
    <row r="31" spans="1:11" x14ac:dyDescent="0.25">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3"/>
        <v>1.471343708138098</v>
      </c>
      <c r="J31">
        <f t="shared" si="4"/>
        <v>14048.361192528348</v>
      </c>
      <c r="K31">
        <f t="shared" si="5"/>
        <v>65913083.275925606</v>
      </c>
    </row>
    <row r="32" spans="1:11" x14ac:dyDescent="0.25">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3"/>
        <v>1.4726310635401902</v>
      </c>
      <c r="J32">
        <f t="shared" si="4"/>
        <v>13070.230908335576</v>
      </c>
      <c r="K32">
        <f t="shared" si="5"/>
        <v>59349084.121776894</v>
      </c>
    </row>
    <row r="33" spans="1:11" x14ac:dyDescent="0.25">
      <c r="A33" s="7"/>
      <c r="B33" s="7"/>
      <c r="H33" s="3"/>
      <c r="J33" s="7">
        <v>9309.6314749795092</v>
      </c>
      <c r="K33">
        <v>38847505.049484089</v>
      </c>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E4" sqref="E4"/>
    </sheetView>
  </sheetViews>
  <sheetFormatPr defaultRowHeight="15.75" x14ac:dyDescent="0.25"/>
  <cols>
    <col min="3" max="3" width="8.85546875" style="5" customWidth="1"/>
    <col min="4" max="4" width="10.85546875" style="5" bestFit="1" customWidth="1"/>
    <col min="5" max="5" width="9.140625" style="5" bestFit="1" customWidth="1"/>
    <col min="6" max="6" width="10.85546875" style="7" bestFit="1" customWidth="1"/>
    <col min="7" max="7" width="10.140625" style="7" bestFit="1" customWidth="1"/>
    <col min="8" max="8" width="8.28515625" bestFit="1" customWidth="1"/>
    <col min="9" max="9" width="5.85546875" bestFit="1" customWidth="1"/>
    <col min="10" max="11" width="6.5703125" customWidth="1"/>
    <col min="12" max="12" width="8.42578125" customWidth="1"/>
    <col min="13" max="13" width="13.140625" customWidth="1"/>
  </cols>
  <sheetData>
    <row r="1" spans="1:15" x14ac:dyDescent="0.25">
      <c r="B1" t="s">
        <v>21</v>
      </c>
      <c r="C1" s="5">
        <v>1</v>
      </c>
      <c r="D1" s="5" t="s">
        <v>14</v>
      </c>
      <c r="I1" t="s">
        <v>23</v>
      </c>
      <c r="J1">
        <v>0.7</v>
      </c>
      <c r="K1">
        <f>1-J1</f>
        <v>0.30000000000000004</v>
      </c>
      <c r="L1">
        <v>0.9</v>
      </c>
      <c r="M1">
        <f>1-L1</f>
        <v>9.9999999999999978E-2</v>
      </c>
    </row>
    <row r="2" spans="1:15" x14ac:dyDescent="0.25">
      <c r="B2" t="s">
        <v>22</v>
      </c>
      <c r="C2" s="5">
        <v>1</v>
      </c>
      <c r="D2">
        <v>1</v>
      </c>
      <c r="F2" s="9"/>
      <c r="G2" s="9"/>
    </row>
    <row r="3" spans="1:15" s="2" customFormat="1" x14ac:dyDescent="0.25">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5">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5">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5">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5">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5">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5">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5">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5">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5">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5">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5">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5">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5">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5">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5">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5">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5">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5">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5">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5">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5">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5">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5">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5">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5">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5">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5">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5">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5">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5">
      <c r="A33" s="7"/>
      <c r="B33" s="7"/>
      <c r="H33" s="3"/>
      <c r="J33">
        <v>-19.370509429769257</v>
      </c>
      <c r="K33">
        <v>-636.96204313606268</v>
      </c>
      <c r="L33" s="7">
        <v>5489.999378391848</v>
      </c>
      <c r="M33" s="7">
        <v>27555653.260482278</v>
      </c>
      <c r="O33" s="10"/>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5.75" x14ac:dyDescent="0.25"/>
  <cols>
    <col min="3" max="3" width="8.85546875" style="5" customWidth="1"/>
    <col min="4" max="4" width="10.85546875" style="5" bestFit="1" customWidth="1"/>
    <col min="5" max="5" width="9.140625" style="5" bestFit="1" customWidth="1"/>
    <col min="6" max="6" width="9.140625" style="5" customWidth="1"/>
    <col min="7" max="7" width="10.85546875" style="7" bestFit="1" customWidth="1"/>
    <col min="8" max="8" width="10.140625" style="7" bestFit="1" customWidth="1"/>
    <col min="9" max="9" width="8.28515625" bestFit="1" customWidth="1"/>
    <col min="10" max="10" width="5.85546875" bestFit="1" customWidth="1"/>
    <col min="11" max="12" width="6.5703125" customWidth="1"/>
    <col min="13" max="13" width="8.42578125" customWidth="1"/>
    <col min="14" max="14" width="13.140625" customWidth="1"/>
  </cols>
  <sheetData>
    <row r="1" spans="1:16" x14ac:dyDescent="0.25">
      <c r="B1" t="s">
        <v>21</v>
      </c>
      <c r="C1" s="5">
        <v>1</v>
      </c>
      <c r="D1" s="5" t="s">
        <v>14</v>
      </c>
      <c r="J1" t="s">
        <v>23</v>
      </c>
      <c r="K1">
        <v>0.7</v>
      </c>
      <c r="L1">
        <f>1-K1</f>
        <v>0.30000000000000004</v>
      </c>
      <c r="M1">
        <v>0.9</v>
      </c>
      <c r="N1">
        <f>1-M1</f>
        <v>9.9999999999999978E-2</v>
      </c>
    </row>
    <row r="2" spans="1:16" x14ac:dyDescent="0.25">
      <c r="B2" t="s">
        <v>22</v>
      </c>
      <c r="C2" s="5">
        <v>1</v>
      </c>
      <c r="D2">
        <v>1</v>
      </c>
      <c r="G2" s="9"/>
      <c r="H2" s="9"/>
    </row>
    <row r="3" spans="1:16" s="2" customFormat="1" x14ac:dyDescent="0.25">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25">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25">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25">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25">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25">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25">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25">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25">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25">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25">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25">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25">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25">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25">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25">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25">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25">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25">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25">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25">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25">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25">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25">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25">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25">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25">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25">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25">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25">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25">
      <c r="A33" s="7"/>
      <c r="B33" s="7"/>
      <c r="E33" s="5" t="s">
        <v>24</v>
      </c>
      <c r="F33" s="5">
        <f>SQRT(SUM(F4:F32))</f>
        <v>235.28150716589968</v>
      </c>
      <c r="I33" s="3"/>
      <c r="K33">
        <v>4.223800054218521</v>
      </c>
      <c r="L33">
        <v>-15.966661111217437</v>
      </c>
      <c r="M33" s="7">
        <v>672.90108904624503</v>
      </c>
      <c r="N33" s="7">
        <v>2666772.9314021971</v>
      </c>
      <c r="P33" s="10"/>
    </row>
    <row r="34" spans="1:16" x14ac:dyDescent="0.25">
      <c r="E34" s="5" t="s">
        <v>25</v>
      </c>
      <c r="F34" s="5">
        <v>239.79849927509557</v>
      </c>
    </row>
    <row r="35" spans="1:16" x14ac:dyDescent="0.25">
      <c r="E35" s="5" t="s">
        <v>26</v>
      </c>
      <c r="F35" s="5">
        <v>119.89924963754778</v>
      </c>
    </row>
    <row r="36" spans="1:16" x14ac:dyDescent="0.25">
      <c r="E36" s="5" t="s">
        <v>27</v>
      </c>
      <c r="F36" s="7">
        <f>ABS(ft_1-ft_2)/MIN(ft_1,ft_2)</f>
        <v>1</v>
      </c>
    </row>
    <row r="37" spans="1:16" x14ac:dyDescent="0.25">
      <c r="E37" s="5" t="s">
        <v>28</v>
      </c>
      <c r="F37" s="7">
        <v>1</v>
      </c>
      <c r="H37" s="7" t="s">
        <v>23</v>
      </c>
    </row>
    <row r="38" spans="1:16" x14ac:dyDescent="0.25">
      <c r="E38" s="5" t="s">
        <v>29</v>
      </c>
      <c r="F38" s="7">
        <f>dt_1*H38+(1-H38)*rtee</f>
        <v>1</v>
      </c>
      <c r="H38" s="7">
        <v>0.9</v>
      </c>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zoomScale="120" zoomScaleNormal="120" workbookViewId="0">
      <selection activeCell="J1" sqref="J1"/>
    </sheetView>
  </sheetViews>
  <sheetFormatPr defaultRowHeight="15.75" x14ac:dyDescent="0.25"/>
  <cols>
    <col min="1" max="1" width="9.7109375" customWidth="1"/>
    <col min="2" max="2" width="3.85546875" bestFit="1" customWidth="1"/>
    <col min="3" max="5" width="9.140625" style="5"/>
    <col min="6" max="6" width="9" bestFit="1" customWidth="1"/>
    <col min="7" max="7" width="12.85546875" customWidth="1"/>
    <col min="8" max="8" width="13.140625" customWidth="1"/>
    <col min="9" max="9" width="9" bestFit="1" customWidth="1"/>
  </cols>
  <sheetData>
    <row r="1" spans="1:10" x14ac:dyDescent="0.25">
      <c r="B1" t="s">
        <v>21</v>
      </c>
      <c r="C1" s="5">
        <v>29.406245790980623</v>
      </c>
      <c r="D1" s="5" t="s">
        <v>14</v>
      </c>
      <c r="F1">
        <v>0.27585466085056881</v>
      </c>
      <c r="G1">
        <v>16.186122587302258</v>
      </c>
      <c r="H1">
        <v>100</v>
      </c>
      <c r="J1">
        <v>8.1502795969492121E-3</v>
      </c>
    </row>
    <row r="2" spans="1:10" x14ac:dyDescent="0.25">
      <c r="B2" t="s">
        <v>22</v>
      </c>
      <c r="C2" s="5">
        <v>2.0217110111321754</v>
      </c>
      <c r="D2">
        <v>3.90625E-3</v>
      </c>
      <c r="F2">
        <f>$D$2/F1</f>
        <v>1.4160536522948314E-2</v>
      </c>
      <c r="G2">
        <f>$D$2/G1</f>
        <v>2.4133327663441694E-4</v>
      </c>
    </row>
    <row r="3" spans="1:10" s="2" customFormat="1" x14ac:dyDescent="0.25">
      <c r="A3" s="2" t="s">
        <v>15</v>
      </c>
      <c r="B3" s="2" t="s">
        <v>16</v>
      </c>
      <c r="C3" s="6" t="s">
        <v>21</v>
      </c>
      <c r="D3" s="6" t="s">
        <v>22</v>
      </c>
      <c r="E3" s="6" t="s">
        <v>18</v>
      </c>
      <c r="F3" s="2" t="s">
        <v>6</v>
      </c>
      <c r="G3" s="2" t="s">
        <v>9</v>
      </c>
      <c r="H3" s="2" t="s">
        <v>12</v>
      </c>
      <c r="I3" s="2" t="s">
        <v>13</v>
      </c>
    </row>
    <row r="4" spans="1:10" x14ac:dyDescent="0.25">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5">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25">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25">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25">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25">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25">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25">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25">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25">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25">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25">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25">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25">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25">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25">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25">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25">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25">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25">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25">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25">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25">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25">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25">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25">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25">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25">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25">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25">
      <c r="F33" s="3">
        <f>SQRT(SUMSQ(F4:F32))/COUNT(F4:F32)</f>
        <v>0.29214010037172083</v>
      </c>
      <c r="G33" s="3">
        <f>SQRT(SUMSQ(G4:G32))/COUNT(G4:G32)</f>
        <v>16.630193282037062</v>
      </c>
      <c r="H33" s="3">
        <f>SUMPRODUCT(histgrad,F2:G2)</f>
        <v>8.1502795969492121E-3</v>
      </c>
    </row>
  </sheetData>
  <phoneticPr fontId="9" type="noConversion"/>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J5" sqref="J5"/>
    </sheetView>
  </sheetViews>
  <sheetFormatPr defaultRowHeight="15.75" x14ac:dyDescent="0.25"/>
  <cols>
    <col min="3" max="3" width="8.85546875" style="5" customWidth="1"/>
    <col min="4" max="4" width="10.85546875" style="5" bestFit="1" customWidth="1"/>
    <col min="5" max="5" width="9.140625" style="5" bestFit="1" customWidth="1"/>
    <col min="6" max="6" width="10.85546875" style="7" bestFit="1" customWidth="1"/>
    <col min="7" max="7" width="10.140625" style="7" bestFit="1" customWidth="1"/>
    <col min="8" max="8" width="8.28515625" bestFit="1" customWidth="1"/>
    <col min="9" max="9" width="5.85546875" bestFit="1" customWidth="1"/>
    <col min="10" max="11" width="6.5703125" customWidth="1"/>
    <col min="12" max="12" width="8.42578125" customWidth="1"/>
    <col min="13" max="13" width="13.140625" customWidth="1"/>
    <col min="14" max="14" width="8.28515625" customWidth="1"/>
  </cols>
  <sheetData>
    <row r="1" spans="1:15" x14ac:dyDescent="0.25">
      <c r="B1" t="s">
        <v>21</v>
      </c>
      <c r="C1" s="5">
        <v>29.990939773126538</v>
      </c>
      <c r="D1" s="5" t="s">
        <v>14</v>
      </c>
      <c r="I1" t="s">
        <v>23</v>
      </c>
      <c r="J1">
        <v>0.9</v>
      </c>
      <c r="K1">
        <f>1-J1</f>
        <v>9.9999999999999978E-2</v>
      </c>
      <c r="L1">
        <v>0.95</v>
      </c>
      <c r="M1">
        <f>1-L1</f>
        <v>5.0000000000000044E-2</v>
      </c>
    </row>
    <row r="2" spans="1:15" x14ac:dyDescent="0.25">
      <c r="B2" t="s">
        <v>22</v>
      </c>
      <c r="C2" s="5">
        <v>2.0041632844175137</v>
      </c>
      <c r="D2">
        <v>3.90625E-3</v>
      </c>
      <c r="F2" s="9"/>
      <c r="G2" s="9"/>
    </row>
    <row r="3" spans="1:15" s="2" customFormat="1" x14ac:dyDescent="0.25">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25">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25">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25">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25">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25">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25">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25">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25">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25">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25">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25">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25">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25">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25">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25">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25">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25">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25">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25">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25">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25">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25">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25">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25">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25">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25">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25">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25">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25">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25">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25">
      <c r="K34">
        <f>1/K3</f>
        <v>-0.24605072888352394</v>
      </c>
      <c r="L34">
        <f>1/L3</f>
        <v>39.56338499278089</v>
      </c>
      <c r="N34">
        <f>avg_grad2/prev_grad2</f>
        <v>1.2475765612497367</v>
      </c>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87</vt:i4>
      </vt:variant>
    </vt:vector>
  </HeadingPairs>
  <TitlesOfParts>
    <vt:vector size="97" baseType="lpstr">
      <vt:lpstr>Intro</vt:lpstr>
      <vt:lpstr>data</vt:lpstr>
      <vt:lpstr>basic SGD</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eve!const</vt:lpstr>
      <vt:lpstr>momentum!const</vt:lpstr>
      <vt:lpstr>rmsprop!const</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eve!gradtarget</vt:lpstr>
      <vt:lpstr>rmsprop!gradtarget</vt:lpstr>
      <vt:lpstr>adagrad!histgrad</vt:lpstr>
      <vt:lpstr>adagrad_ann!histgrad</vt:lpstr>
      <vt:lpstr>adam!histgrad</vt:lpstr>
      <vt:lpstr>adam_ann!histgrad</vt:lpstr>
      <vt:lpstr>'basic SGD'!histgrad</vt:lpstr>
      <vt:lpstr>eve!histgrad</vt:lpstr>
      <vt:lpstr>momentum!histgrad</vt:lpstr>
      <vt:lpstr>rmsprop!histgrad</vt:lpstr>
      <vt:lpstr>intercept</vt:lpstr>
      <vt:lpstr>adagrad!lastconst</vt:lpstr>
      <vt:lpstr>adagrad_ann!lastconst</vt:lpstr>
      <vt:lpstr>adam!lastconst</vt:lpstr>
      <vt:lpstr>adam_ann!lastconst</vt:lpstr>
      <vt:lpstr>'basic SGD'!lastconst</vt:lpstr>
      <vt:lpstr>eve!lastconst</vt:lpstr>
      <vt:lpstr>momentum!lastconst</vt:lpstr>
      <vt:lpstr>rmsprop!lastconst</vt:lpstr>
      <vt:lpstr>adagrad!lastslope</vt:lpstr>
      <vt:lpstr>adagrad_ann!lastslope</vt:lpstr>
      <vt:lpstr>adam!lastslope</vt:lpstr>
      <vt:lpstr>adam_ann!lastslope</vt:lpstr>
      <vt:lpstr>'basic SGD'!lastslope</vt:lpstr>
      <vt:lpstr>eve!lastslope</vt:lpstr>
      <vt:lpstr>momentum!lastslope</vt:lpstr>
      <vt:lpstr>rmsprop!lastslope</vt:lpstr>
      <vt:lpstr>learning_rate_SGD</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SGD'!rmses</vt:lpstr>
      <vt:lpstr>'basic SGD'!rmsestart</vt:lpstr>
      <vt:lpstr>eve!rtee</vt:lpstr>
      <vt:lpstr>adagrad!slope</vt:lpstr>
      <vt:lpstr>adagrad_ann!slope</vt:lpstr>
      <vt:lpstr>adam!slope</vt:lpstr>
      <vt:lpstr>adam_ann!slope</vt:lpstr>
      <vt:lpstr>'basic SGD'!slope</vt:lpstr>
      <vt:lpstr>eve!slope</vt:lpstr>
      <vt:lpstr>momentum!slope</vt:lpstr>
      <vt:lpstr>rmsprop!slope</vt:lpstr>
      <vt:lpstr>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NoK Chan</cp:lastModifiedBy>
  <dcterms:created xsi:type="dcterms:W3CDTF">2014-03-27T15:29:57Z</dcterms:created>
  <dcterms:modified xsi:type="dcterms:W3CDTF">2019-03-30T09:53:02Z</dcterms:modified>
</cp:coreProperties>
</file>